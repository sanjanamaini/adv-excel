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nju\Downloads\"/>
    </mc:Choice>
  </mc:AlternateContent>
  <xr:revisionPtr revIDLastSave="0" documentId="13_ncr:1_{701B04C4-E86B-42F2-B9A2-A7611387514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Q1." sheetId="1" r:id="rId1"/>
    <sheet name="Q2." sheetId="2" r:id="rId2"/>
    <sheet name="Q3." sheetId="3" r:id="rId3"/>
    <sheet name="Q4.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F38" i="1" a="1"/>
  <c r="F38" i="1"/>
  <c r="F36" i="1"/>
  <c r="L22" i="1"/>
  <c r="K22" i="1"/>
  <c r="J22" i="1"/>
  <c r="L21" i="1"/>
  <c r="K21" i="1"/>
  <c r="J21" i="1"/>
  <c r="J15" i="1"/>
  <c r="J13" i="1"/>
  <c r="J11" i="1"/>
  <c r="J9" i="1"/>
  <c r="J7" i="1"/>
  <c r="J5" i="1"/>
  <c r="J3" i="1"/>
  <c r="M6" i="2"/>
  <c r="K5" i="2"/>
  <c r="K4" i="2"/>
  <c r="K3" i="2"/>
  <c r="A12" i="2"/>
  <c r="K2" i="2"/>
  <c r="K1" i="2"/>
  <c r="H2" i="4"/>
  <c r="G2" i="4"/>
  <c r="F2" i="4"/>
  <c r="E2" i="4"/>
  <c r="C2" i="3"/>
  <c r="C4" i="3" s="1"/>
  <c r="A22" i="2"/>
  <c r="A21" i="2"/>
  <c r="A20" i="2"/>
  <c r="A18" i="2"/>
  <c r="A15" i="2"/>
  <c r="A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<sst xmlns="http://schemas.openxmlformats.org/spreadsheetml/2006/main" count="173" uniqueCount="112">
  <si>
    <t>PurchaseDate</t>
  </si>
  <si>
    <t>Category</t>
  </si>
  <si>
    <t>Product</t>
  </si>
  <si>
    <t>Quantity</t>
  </si>
  <si>
    <t>PricePerUnit</t>
  </si>
  <si>
    <t>TotalAmount</t>
  </si>
  <si>
    <t>CustomerType</t>
  </si>
  <si>
    <t>1-15-23</t>
  </si>
  <si>
    <t>Electronics</t>
  </si>
  <si>
    <t>Laptop</t>
  </si>
  <si>
    <t>New</t>
  </si>
  <si>
    <t>1-20-23</t>
  </si>
  <si>
    <t>Furniture</t>
  </si>
  <si>
    <t>Chair</t>
  </si>
  <si>
    <t>Returning</t>
  </si>
  <si>
    <t>Clothing</t>
  </si>
  <si>
    <t>T-shirt</t>
  </si>
  <si>
    <t>2-18-23</t>
  </si>
  <si>
    <t>Tablet</t>
  </si>
  <si>
    <t>Sofa</t>
  </si>
  <si>
    <t>Jeans</t>
  </si>
  <si>
    <t>Phone</t>
  </si>
  <si>
    <t>4-15-23</t>
  </si>
  <si>
    <t>Table</t>
  </si>
  <si>
    <t>Jacket</t>
  </si>
  <si>
    <t>5-20-23</t>
  </si>
  <si>
    <t>TV</t>
  </si>
  <si>
    <t>Bed</t>
  </si>
  <si>
    <t>6-25-23</t>
  </si>
  <si>
    <t>7-15-23</t>
  </si>
  <si>
    <t>9-18-23</t>
  </si>
  <si>
    <t>10-22-23</t>
  </si>
  <si>
    <t>11-15-23</t>
  </si>
  <si>
    <t>12-20-23</t>
  </si>
  <si>
    <t>What is the total amount for all "Electronics" purchases?</t>
  </si>
  <si>
    <t>What is the total amount for purchases where the quantity sold is greater than 5</t>
  </si>
  <si>
    <t>How many "Sofa" items were sold in total</t>
  </si>
  <si>
    <t>What is the average total amount spent by "Returning" customers</t>
  </si>
  <si>
    <t>What is the total revenue from all "Furniture" products sold in 2023</t>
  </si>
  <si>
    <t>How many "Sofa" purchases were made by "Returning" customers</t>
  </si>
  <si>
    <t>What is the average total amount spent on "Furniture" products by "Returning" customers</t>
  </si>
  <si>
    <t>get the  total amount for the combinations mentioned in the table</t>
  </si>
  <si>
    <t>Sumproduct</t>
  </si>
  <si>
    <t>No. of Students</t>
  </si>
  <si>
    <t>Marks in Ennglih</t>
  </si>
  <si>
    <t>Calculate sumproduct for the above table</t>
  </si>
  <si>
    <t>Calculate sumproduct for students with marks gretaer than 16</t>
  </si>
  <si>
    <t>Text</t>
  </si>
  <si>
    <t>Sales</t>
  </si>
  <si>
    <t>1)</t>
  </si>
  <si>
    <t>Count the number of entries that contain "Name" anywhere in the text:</t>
  </si>
  <si>
    <t>(Tue)</t>
  </si>
  <si>
    <t>2)</t>
  </si>
  <si>
    <t>Count the phone numbers that start with "+22"</t>
  </si>
  <si>
    <t>Sun</t>
  </si>
  <si>
    <t>3)</t>
  </si>
  <si>
    <t>Count the number of entries that have exactly 9 characters</t>
  </si>
  <si>
    <t>(Wed)</t>
  </si>
  <si>
    <t>4)</t>
  </si>
  <si>
    <t>Sum of Sales in entries that contain the word "Promo"</t>
  </si>
  <si>
    <t>(abc)</t>
  </si>
  <si>
    <t>5)</t>
  </si>
  <si>
    <t>Count of text that start with *3</t>
  </si>
  <si>
    <t>*** Promo Code</t>
  </si>
  <si>
    <t>6)</t>
  </si>
  <si>
    <t>Count the number of entries where the text contains the word "Name" but not "What":</t>
  </si>
  <si>
    <t>(Jane)</t>
  </si>
  <si>
    <t>(John Doe)</t>
  </si>
  <si>
    <t>~Xyz-789</t>
  </si>
  <si>
    <t>What's up?</t>
  </si>
  <si>
    <t>(Friday)</t>
  </si>
  <si>
    <t>How old are you?</t>
  </si>
  <si>
    <t>*Discount applied</t>
  </si>
  <si>
    <t>My Name is MJ</t>
  </si>
  <si>
    <t>Feeling great</t>
  </si>
  <si>
    <t>A</t>
  </si>
  <si>
    <t>B</t>
  </si>
  <si>
    <t>C</t>
  </si>
  <si>
    <t>What cells are precedents for cell C3?</t>
  </si>
  <si>
    <t>What are the dependents of C1</t>
  </si>
  <si>
    <r>
      <rPr>
        <b/>
        <sz val="11"/>
        <color rgb="FF000000"/>
        <rFont val="Calibri"/>
      </rPr>
      <t>ID</t>
    </r>
  </si>
  <si>
    <r>
      <rPr>
        <b/>
        <sz val="11"/>
        <color rgb="FF000000"/>
        <rFont val="Calibri"/>
      </rPr>
      <t>Name</t>
    </r>
  </si>
  <si>
    <r>
      <rPr>
        <b/>
        <sz val="11"/>
        <color rgb="FF000000"/>
        <rFont val="Calibri"/>
      </rPr>
      <t>Department</t>
    </r>
  </si>
  <si>
    <r>
      <rPr>
        <b/>
        <sz val="11"/>
        <color rgb="FF000000"/>
        <rFont val="Calibri"/>
      </rPr>
      <t>Salary</t>
    </r>
  </si>
  <si>
    <r>
      <rPr>
        <sz val="11"/>
        <color rgb="FF000000"/>
        <rFont val="Calibri"/>
      </rPr>
      <t>Alice</t>
    </r>
  </si>
  <si>
    <r>
      <rPr>
        <sz val="11"/>
        <color rgb="FF000000"/>
        <rFont val="Calibri"/>
      </rPr>
      <t>HR</t>
    </r>
  </si>
  <si>
    <r>
      <rPr>
        <sz val="11"/>
        <color rgb="FF000000"/>
        <rFont val="Calibri"/>
      </rPr>
      <t>Bob</t>
    </r>
  </si>
  <si>
    <r>
      <rPr>
        <sz val="11"/>
        <color rgb="FF000000"/>
        <rFont val="Calibri"/>
      </rPr>
      <t>Finance</t>
    </r>
  </si>
  <si>
    <r>
      <rPr>
        <sz val="11"/>
        <color rgb="FF000000"/>
        <rFont val="Calibri"/>
      </rPr>
      <t>Carol</t>
    </r>
  </si>
  <si>
    <r>
      <rPr>
        <sz val="11"/>
        <color rgb="FF000000"/>
        <rFont val="Calibri"/>
      </rPr>
      <t>Marketing</t>
    </r>
  </si>
  <si>
    <r>
      <rPr>
        <sz val="11"/>
        <color rgb="FF000000"/>
        <rFont val="Calibri"/>
      </rPr>
      <t>David</t>
    </r>
  </si>
  <si>
    <r>
      <rPr>
        <sz val="11"/>
        <color rgb="FF000000"/>
        <rFont val="Calibri"/>
      </rPr>
      <t>IT</t>
    </r>
  </si>
  <si>
    <r>
      <rPr>
        <sz val="11"/>
        <color rgb="FF000000"/>
        <rFont val="Calibri"/>
      </rPr>
      <t>Emma</t>
    </r>
  </si>
  <si>
    <r>
      <rPr>
        <sz val="11"/>
        <color rgb="FF000000"/>
        <rFont val="Calibri"/>
      </rPr>
      <t>HR</t>
    </r>
  </si>
  <si>
    <r>
      <rPr>
        <sz val="11"/>
        <color rgb="FF000000"/>
        <rFont val="Calibri"/>
      </rPr>
      <t>Frank</t>
    </r>
  </si>
  <si>
    <r>
      <rPr>
        <sz val="11"/>
        <color rgb="FF000000"/>
        <rFont val="Calibri"/>
      </rPr>
      <t>Finance</t>
    </r>
  </si>
  <si>
    <r>
      <rPr>
        <sz val="11"/>
        <color rgb="FF000000"/>
        <rFont val="Calibri"/>
      </rPr>
      <t>Grace</t>
    </r>
  </si>
  <si>
    <r>
      <rPr>
        <sz val="11"/>
        <color rgb="FF000000"/>
        <rFont val="Calibri"/>
      </rPr>
      <t>Marketing</t>
    </r>
  </si>
  <si>
    <r>
      <rPr>
        <sz val="11"/>
        <color rgb="FF000000"/>
        <rFont val="Calibri"/>
      </rPr>
      <t>Helen</t>
    </r>
  </si>
  <si>
    <r>
      <rPr>
        <sz val="11"/>
        <color rgb="FF000000"/>
        <rFont val="Calibri"/>
      </rPr>
      <t>IT</t>
    </r>
  </si>
  <si>
    <r>
      <rPr>
        <sz val="11"/>
        <color rgb="FF000000"/>
        <rFont val="Calibri"/>
      </rPr>
      <t>Ian</t>
    </r>
  </si>
  <si>
    <r>
      <rPr>
        <sz val="11"/>
        <color rgb="FF000000"/>
        <rFont val="Calibri"/>
      </rPr>
      <t>HR</t>
    </r>
  </si>
  <si>
    <r>
      <rPr>
        <sz val="11"/>
        <color rgb="FF000000"/>
        <rFont val="Calibri"/>
      </rPr>
      <t>Julia</t>
    </r>
  </si>
  <si>
    <r>
      <rPr>
        <sz val="11"/>
        <color rgb="FF000000"/>
        <rFont val="Calibri"/>
      </rPr>
      <t>Finance</t>
    </r>
  </si>
  <si>
    <r>
      <rPr>
        <b/>
        <u/>
        <sz val="11"/>
        <color rgb="FF000000"/>
        <rFont val="Calibri"/>
      </rPr>
      <t>Practice Questions</t>
    </r>
  </si>
  <si>
    <r>
      <rPr>
        <sz val="11"/>
        <rFont val="Calibri"/>
      </rPr>
      <t>1. Use INDEX to find the Salary of the 5th employee.</t>
    </r>
  </si>
  <si>
    <r>
      <rPr>
        <sz val="11"/>
        <rFont val="Calibri"/>
      </rPr>
      <t>2. Use MATCH to find the row number for “Helen”.</t>
    </r>
  </si>
  <si>
    <r>
      <rPr>
        <sz val="11"/>
        <rFont val="Calibri"/>
      </rPr>
      <t>3. Use INDEX+MATCH to get the Department for “Ian”.</t>
    </r>
  </si>
  <si>
    <r>
      <rPr>
        <sz val="11"/>
        <rFont val="Calibri"/>
      </rPr>
      <t>4. Use CHOOSE to select between three departments by their index number (e.g., 2 = “Finance”).</t>
    </r>
  </si>
  <si>
    <t>w</t>
  </si>
  <si>
    <t>C1 AND C2 (ACCORIDING TO THE ROW NUMBERS GIVEN), OTHERWISE IT IS C2 AND C3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</si>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</sst>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>
    <font>
      <sz val="11"/>
      <name val="Aptos Narrow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000000"/>
      <name val="Calibri"/>
    </font>
    <font>
      <sz val="11"/>
      <name val="Aptos Narrow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name val="Calibri"/>
    </font>
    <font>
      <sz val="11"/>
      <color rgb="FF000000"/>
      <name val="Calibri"/>
    </font>
    <font>
      <b/>
      <u/>
      <sz val="11"/>
      <color rgb="FF000000"/>
      <name val="Calibri"/>
    </font>
    <font>
      <sz val="11"/>
      <name val="Calibri"/>
    </font>
    <font>
      <sz val="10"/>
      <name val="Arial Unicode MS"/>
    </font>
    <font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A5C9EC"/>
        <bgColor indexed="64"/>
      </patternFill>
    </fill>
    <fill>
      <patternFill patternType="none"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164" fontId="1" fillId="0" borderId="0" xfId="0" applyNumberFormat="1" applyFont="1" applyAlignment="1"/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/>
    <xf numFmtId="0" fontId="1" fillId="0" borderId="5" xfId="0" applyFont="1" applyBorder="1" applyAlignment="1">
      <alignment vertical="center" wrapText="1"/>
    </xf>
    <xf numFmtId="164" fontId="2" fillId="0" borderId="0" xfId="0" applyNumberFormat="1" applyFont="1" applyAlignment="1"/>
    <xf numFmtId="0" fontId="2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>
      <alignment vertical="center"/>
    </xf>
    <xf numFmtId="0" fontId="7" fillId="0" borderId="6" xfId="0" applyFont="1" applyBorder="1">
      <alignment vertical="center"/>
    </xf>
    <xf numFmtId="0" fontId="9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>
      <alignment vertic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right"/>
    </xf>
    <xf numFmtId="0" fontId="13" fillId="3" borderId="0" xfId="0" applyFont="1" applyFill="1" applyAlignment="1">
      <alignment horizontal="left"/>
    </xf>
    <xf numFmtId="3" fontId="13" fillId="3" borderId="11" xfId="0" applyNumberFormat="1" applyFont="1" applyFill="1" applyBorder="1" applyAlignment="1">
      <alignment horizontal="right"/>
    </xf>
    <xf numFmtId="0" fontId="13" fillId="3" borderId="12" xfId="0" applyFont="1" applyFill="1" applyBorder="1" applyAlignment="1">
      <alignment horizontal="right"/>
    </xf>
    <xf numFmtId="0" fontId="13" fillId="3" borderId="13" xfId="0" applyFont="1" applyFill="1" applyBorder="1" applyAlignment="1">
      <alignment horizontal="left"/>
    </xf>
    <xf numFmtId="3" fontId="13" fillId="3" borderId="14" xfId="0" applyNumberFormat="1" applyFont="1" applyFill="1" applyBorder="1" applyAlignment="1">
      <alignment horizontal="right"/>
    </xf>
    <xf numFmtId="0" fontId="14" fillId="3" borderId="0" xfId="0" applyFont="1" applyFill="1" applyAlignment="1">
      <alignment horizontal="left"/>
    </xf>
    <xf numFmtId="0" fontId="15" fillId="3" borderId="0" xfId="0" applyFont="1" applyFill="1" applyAlignment="1">
      <alignment horizontal="left" vertical="center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 applyAlignment="1"/>
    <xf numFmtId="0" fontId="4" fillId="0" borderId="4" xfId="0" applyFont="1" applyBorder="1" applyAlignment="1"/>
    <xf numFmtId="0" fontId="2" fillId="0" borderId="0" xfId="0" applyFont="1" applyAlignment="1"/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8" fillId="5" borderId="6" xfId="0" applyFont="1" applyFill="1" applyBorder="1">
      <alignment vertical="center"/>
    </xf>
    <xf numFmtId="0" fontId="0" fillId="5" borderId="0" xfId="0" applyFill="1">
      <alignment vertical="center"/>
    </xf>
    <xf numFmtId="0" fontId="16" fillId="0" borderId="0" xfId="0" applyFont="1" applyAlignment="1">
      <alignment vertical="center" wrapText="1"/>
    </xf>
    <xf numFmtId="0" fontId="3" fillId="4" borderId="1" xfId="0" applyFont="1" applyFill="1" applyBorder="1" applyAlignment="1"/>
    <xf numFmtId="0" fontId="17" fillId="4" borderId="0" xfId="0" applyFont="1" applyFill="1" applyAlignment="1">
      <alignment vertical="center" wrapText="1"/>
    </xf>
    <xf numFmtId="0" fontId="17" fillId="4" borderId="0" xfId="0" applyFont="1" applyFill="1">
      <alignment vertical="center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opLeftCell="A22" zoomScaleNormal="100" workbookViewId="0">
      <selection activeCell="E28" sqref="E28"/>
    </sheetView>
  </sheetViews>
  <sheetFormatPr defaultColWidth="10" defaultRowHeight="14.4"/>
  <cols>
    <col min="1" max="1" width="13.33203125" style="1" customWidth="1"/>
    <col min="2" max="2" width="14.44140625" customWidth="1"/>
    <col min="3" max="3" width="7.5546875" bestFit="1" customWidth="1"/>
    <col min="4" max="5" width="8.109375" bestFit="1" customWidth="1"/>
    <col min="7" max="7" width="8.6640625" bestFit="1" customWidth="1"/>
    <col min="9" max="9" width="72.33203125" bestFit="1" customWidth="1"/>
  </cols>
  <sheetData>
    <row r="1" spans="1:10" ht="28.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0">
      <c r="A2" s="4" t="s">
        <v>7</v>
      </c>
      <c r="B2" s="5" t="s">
        <v>8</v>
      </c>
      <c r="C2" s="5" t="s">
        <v>9</v>
      </c>
      <c r="D2" s="5">
        <v>5</v>
      </c>
      <c r="E2" s="5">
        <v>800</v>
      </c>
      <c r="F2" s="6">
        <v>4000</v>
      </c>
      <c r="G2" s="5" t="s">
        <v>10</v>
      </c>
    </row>
    <row r="3" spans="1:10" ht="28.8">
      <c r="A3" s="4" t="s">
        <v>11</v>
      </c>
      <c r="B3" s="5" t="s">
        <v>12</v>
      </c>
      <c r="C3" s="5" t="s">
        <v>13</v>
      </c>
      <c r="D3" s="5">
        <v>10</v>
      </c>
      <c r="E3" s="5">
        <v>50</v>
      </c>
      <c r="F3" s="5">
        <v>500</v>
      </c>
      <c r="G3" s="5" t="s">
        <v>14</v>
      </c>
      <c r="I3" t="s">
        <v>34</v>
      </c>
      <c r="J3" s="34">
        <f>SUMIF(B2:B25,"Electronics",F2:F25)</f>
        <v>36900</v>
      </c>
    </row>
    <row r="4" spans="1:10">
      <c r="A4" s="4">
        <v>45048</v>
      </c>
      <c r="B4" s="5" t="s">
        <v>15</v>
      </c>
      <c r="C4" s="5" t="s">
        <v>16</v>
      </c>
      <c r="D4" s="5">
        <v>20</v>
      </c>
      <c r="E4" s="5">
        <v>15</v>
      </c>
      <c r="F4" s="5">
        <v>300</v>
      </c>
      <c r="G4" s="5" t="s">
        <v>10</v>
      </c>
      <c r="J4" s="34"/>
    </row>
    <row r="5" spans="1:10" ht="28.8">
      <c r="A5" s="4" t="s">
        <v>17</v>
      </c>
      <c r="B5" s="5" t="s">
        <v>8</v>
      </c>
      <c r="C5" s="5" t="s">
        <v>18</v>
      </c>
      <c r="D5" s="5">
        <v>7</v>
      </c>
      <c r="E5" s="5">
        <v>300</v>
      </c>
      <c r="F5" s="6">
        <v>2100</v>
      </c>
      <c r="G5" s="5" t="s">
        <v>14</v>
      </c>
      <c r="I5" t="s">
        <v>35</v>
      </c>
      <c r="J5" s="34">
        <f>SUMIF(D2:D25,"&gt;5",F2:F25)</f>
        <v>38855</v>
      </c>
    </row>
    <row r="6" spans="1:10">
      <c r="A6" s="4">
        <v>44929</v>
      </c>
      <c r="B6" s="5" t="s">
        <v>12</v>
      </c>
      <c r="C6" s="5" t="s">
        <v>19</v>
      </c>
      <c r="D6" s="5">
        <v>3</v>
      </c>
      <c r="E6" s="5">
        <v>500</v>
      </c>
      <c r="F6" s="6">
        <v>1500</v>
      </c>
      <c r="G6" s="5" t="s">
        <v>10</v>
      </c>
      <c r="J6" s="34"/>
    </row>
    <row r="7" spans="1:10" ht="28.8" customHeight="1">
      <c r="A7" s="4">
        <v>45202</v>
      </c>
      <c r="B7" s="5" t="s">
        <v>15</v>
      </c>
      <c r="C7" s="5" t="s">
        <v>20</v>
      </c>
      <c r="D7" s="5">
        <v>15</v>
      </c>
      <c r="E7" s="5">
        <v>40</v>
      </c>
      <c r="F7" s="5">
        <v>600</v>
      </c>
      <c r="G7" s="5" t="s">
        <v>14</v>
      </c>
      <c r="I7" t="s">
        <v>36</v>
      </c>
      <c r="J7" s="34">
        <f>SUMIF(C2:C25,"Sofa",D2:D25)</f>
        <v>17</v>
      </c>
    </row>
    <row r="8" spans="1:10">
      <c r="A8" s="4">
        <v>44989</v>
      </c>
      <c r="B8" s="5" t="s">
        <v>8</v>
      </c>
      <c r="C8" s="5" t="s">
        <v>21</v>
      </c>
      <c r="D8" s="5">
        <v>12</v>
      </c>
      <c r="E8" s="5">
        <v>600</v>
      </c>
      <c r="F8" s="6">
        <v>7200</v>
      </c>
      <c r="G8" s="5" t="s">
        <v>10</v>
      </c>
      <c r="J8" s="34"/>
    </row>
    <row r="9" spans="1:10" ht="28.8">
      <c r="A9" s="4" t="s">
        <v>22</v>
      </c>
      <c r="B9" s="5" t="s">
        <v>12</v>
      </c>
      <c r="C9" s="5" t="s">
        <v>23</v>
      </c>
      <c r="D9" s="5">
        <v>8</v>
      </c>
      <c r="E9" s="5">
        <v>200</v>
      </c>
      <c r="F9" s="6">
        <v>1600</v>
      </c>
      <c r="G9" s="5" t="s">
        <v>14</v>
      </c>
      <c r="I9" t="s">
        <v>37</v>
      </c>
      <c r="J9" s="34">
        <f>AVERAGEIF(G2:G25,"Returning",F2:F25)</f>
        <v>1746.25</v>
      </c>
    </row>
    <row r="10" spans="1:10">
      <c r="A10" s="4">
        <v>45265</v>
      </c>
      <c r="B10" s="5" t="s">
        <v>15</v>
      </c>
      <c r="C10" s="5" t="s">
        <v>24</v>
      </c>
      <c r="D10" s="5">
        <v>6</v>
      </c>
      <c r="E10" s="5">
        <v>60</v>
      </c>
      <c r="F10" s="5">
        <v>360</v>
      </c>
      <c r="G10" s="5" t="s">
        <v>14</v>
      </c>
      <c r="J10" s="34"/>
    </row>
    <row r="11" spans="1:10">
      <c r="A11" s="4" t="s">
        <v>25</v>
      </c>
      <c r="B11" s="5" t="s">
        <v>8</v>
      </c>
      <c r="C11" s="5" t="s">
        <v>26</v>
      </c>
      <c r="D11" s="5">
        <v>4</v>
      </c>
      <c r="E11" s="6">
        <v>1000</v>
      </c>
      <c r="F11" s="6">
        <v>4000</v>
      </c>
      <c r="G11" s="5" t="s">
        <v>10</v>
      </c>
      <c r="I11" t="s">
        <v>38</v>
      </c>
      <c r="J11" s="34">
        <f>SUMIFS(F2:F25,B2:B25,"Furniture",A2:A25,"&gt;=1/1/2023",A2:A25,"&lt;=12/31/2023")</f>
        <v>8050</v>
      </c>
    </row>
    <row r="12" spans="1:10">
      <c r="A12" s="4">
        <v>45205</v>
      </c>
      <c r="B12" s="5" t="s">
        <v>12</v>
      </c>
      <c r="C12" s="5" t="s">
        <v>27</v>
      </c>
      <c r="D12" s="5">
        <v>2</v>
      </c>
      <c r="E12" s="5">
        <v>700</v>
      </c>
      <c r="F12" s="6">
        <v>1400</v>
      </c>
      <c r="G12" s="5" t="s">
        <v>14</v>
      </c>
      <c r="J12" s="34"/>
    </row>
    <row r="13" spans="1:10">
      <c r="A13" s="4" t="s">
        <v>28</v>
      </c>
      <c r="B13" s="5" t="s">
        <v>8</v>
      </c>
      <c r="C13" s="5" t="s">
        <v>9</v>
      </c>
      <c r="D13" s="5">
        <v>10</v>
      </c>
      <c r="E13" s="5">
        <v>800</v>
      </c>
      <c r="F13" s="6">
        <v>8000</v>
      </c>
      <c r="G13" s="5" t="s">
        <v>10</v>
      </c>
      <c r="I13" t="s">
        <v>39</v>
      </c>
      <c r="J13" s="34">
        <f>COUNTIFS(C2:C25,"Sofa",G2:G25,"Returning")</f>
        <v>0</v>
      </c>
    </row>
    <row r="14" spans="1:10">
      <c r="A14" s="4">
        <v>44933</v>
      </c>
      <c r="B14" s="5" t="s">
        <v>15</v>
      </c>
      <c r="C14" s="5" t="s">
        <v>16</v>
      </c>
      <c r="D14" s="5">
        <v>25</v>
      </c>
      <c r="E14" s="5">
        <v>15</v>
      </c>
      <c r="F14" s="5">
        <v>375</v>
      </c>
      <c r="G14" s="5" t="s">
        <v>14</v>
      </c>
      <c r="J14" s="34"/>
    </row>
    <row r="15" spans="1:10">
      <c r="A15" s="4" t="s">
        <v>29</v>
      </c>
      <c r="B15" s="5" t="s">
        <v>12</v>
      </c>
      <c r="C15" s="5" t="s">
        <v>19</v>
      </c>
      <c r="D15" s="5">
        <v>4</v>
      </c>
      <c r="E15" s="5">
        <v>500</v>
      </c>
      <c r="F15" s="6">
        <v>2000</v>
      </c>
      <c r="G15" s="5" t="s">
        <v>10</v>
      </c>
      <c r="I15" t="s">
        <v>40</v>
      </c>
      <c r="J15" s="34">
        <f>AVERAGEIFS(F2:F25,B2:B25,"Furniture",G2:G25,"Returning")</f>
        <v>2100</v>
      </c>
    </row>
    <row r="16" spans="1:10">
      <c r="A16" s="4">
        <v>45054</v>
      </c>
      <c r="B16" s="5" t="s">
        <v>8</v>
      </c>
      <c r="C16" s="5" t="s">
        <v>21</v>
      </c>
      <c r="D16" s="5">
        <v>8</v>
      </c>
      <c r="E16" s="5">
        <v>600</v>
      </c>
      <c r="F16" s="6">
        <v>4800</v>
      </c>
      <c r="G16" s="5" t="s">
        <v>14</v>
      </c>
    </row>
    <row r="17" spans="1:12">
      <c r="A17" s="4">
        <v>45268</v>
      </c>
      <c r="B17" s="5" t="s">
        <v>12</v>
      </c>
      <c r="C17" s="5" t="s">
        <v>13</v>
      </c>
      <c r="D17" s="5">
        <v>5</v>
      </c>
      <c r="E17" s="5">
        <v>50</v>
      </c>
      <c r="F17" s="5">
        <v>250</v>
      </c>
      <c r="G17" s="5" t="s">
        <v>10</v>
      </c>
    </row>
    <row r="18" spans="1:12" ht="28.8">
      <c r="A18" s="4">
        <v>45025</v>
      </c>
      <c r="B18" s="5" t="s">
        <v>15</v>
      </c>
      <c r="C18" s="5" t="s">
        <v>24</v>
      </c>
      <c r="D18" s="5">
        <v>10</v>
      </c>
      <c r="E18" s="5">
        <v>60</v>
      </c>
      <c r="F18" s="5">
        <v>600</v>
      </c>
      <c r="G18" s="5" t="s">
        <v>14</v>
      </c>
    </row>
    <row r="19" spans="1:12">
      <c r="A19" s="4" t="s">
        <v>30</v>
      </c>
      <c r="B19" s="5" t="s">
        <v>8</v>
      </c>
      <c r="C19" s="5" t="s">
        <v>18</v>
      </c>
      <c r="D19" s="5">
        <v>6</v>
      </c>
      <c r="E19" s="5">
        <v>300</v>
      </c>
      <c r="F19" s="6">
        <v>1800</v>
      </c>
      <c r="G19" s="5" t="s">
        <v>10</v>
      </c>
      <c r="I19" s="29" t="s">
        <v>41</v>
      </c>
      <c r="J19" s="30"/>
      <c r="K19" s="31"/>
    </row>
    <row r="20" spans="1:12">
      <c r="A20" s="4">
        <v>45209</v>
      </c>
      <c r="B20" s="5" t="s">
        <v>12</v>
      </c>
      <c r="C20" s="5" t="s">
        <v>27</v>
      </c>
      <c r="D20" s="5">
        <v>7</v>
      </c>
      <c r="E20" s="5">
        <v>700</v>
      </c>
      <c r="F20" s="6">
        <v>4900</v>
      </c>
      <c r="G20" s="5" t="s">
        <v>14</v>
      </c>
      <c r="I20" s="7"/>
      <c r="J20" s="5" t="s">
        <v>9</v>
      </c>
      <c r="K20" s="5" t="s">
        <v>13</v>
      </c>
      <c r="L20" s="5" t="s">
        <v>26</v>
      </c>
    </row>
    <row r="21" spans="1:12">
      <c r="A21" s="4" t="s">
        <v>31</v>
      </c>
      <c r="B21" s="5" t="s">
        <v>8</v>
      </c>
      <c r="C21" s="5" t="s">
        <v>26</v>
      </c>
      <c r="D21" s="5">
        <v>2</v>
      </c>
      <c r="E21" s="6">
        <v>1000</v>
      </c>
      <c r="F21" s="6">
        <v>2000</v>
      </c>
      <c r="G21" s="5" t="s">
        <v>10</v>
      </c>
      <c r="I21" s="8" t="s">
        <v>8</v>
      </c>
      <c r="J21" s="34">
        <f>SUMIFS($F$2:$F$25,$B$2:$B$25,$I21,$C$2:$C$25,$J20)</f>
        <v>12000</v>
      </c>
      <c r="K21" s="38">
        <f>SUMIFS($F$2:$F$25,$B$2:$B$25,$I21,$C$2:$C$25,$K20)</f>
        <v>0</v>
      </c>
      <c r="L21" s="34">
        <f>SUMIFS($F$2:$F$25,$B$2:$B$25,$I21,$C$2:$C$25,$L20)</f>
        <v>6000</v>
      </c>
    </row>
    <row r="22" spans="1:12">
      <c r="A22" s="4">
        <v>44968</v>
      </c>
      <c r="B22" s="5" t="s">
        <v>15</v>
      </c>
      <c r="C22" s="5" t="s">
        <v>20</v>
      </c>
      <c r="D22" s="5">
        <v>18</v>
      </c>
      <c r="E22" s="5">
        <v>40</v>
      </c>
      <c r="F22" s="5">
        <v>720</v>
      </c>
      <c r="G22" s="5" t="s">
        <v>14</v>
      </c>
      <c r="I22" s="8" t="s">
        <v>12</v>
      </c>
      <c r="J22" s="39">
        <f>SUMIFS($F$2:$F$25,$B$2:$B$25,$I22,$C$2:$C$25,$J20)</f>
        <v>0</v>
      </c>
      <c r="K22" s="38">
        <f>SUMIFS($F$2:$F$25,$B$2:$B$25,$I22,$C$2:$C$25,$K20)</f>
        <v>750</v>
      </c>
      <c r="L22" s="40">
        <f>SUMIFS($F$2:$F$25,$B$2:$B$25,$I22,$C$2:$C$25,$L20)</f>
        <v>0</v>
      </c>
    </row>
    <row r="23" spans="1:12">
      <c r="A23" s="4" t="s">
        <v>32</v>
      </c>
      <c r="B23" s="5" t="s">
        <v>12</v>
      </c>
      <c r="C23" s="5" t="s">
        <v>23</v>
      </c>
      <c r="D23" s="5">
        <v>3</v>
      </c>
      <c r="E23" s="5">
        <v>200</v>
      </c>
      <c r="F23" s="5">
        <v>600</v>
      </c>
      <c r="G23" s="5" t="s">
        <v>10</v>
      </c>
      <c r="J23" s="37"/>
    </row>
    <row r="24" spans="1:12">
      <c r="A24" s="4">
        <v>44938</v>
      </c>
      <c r="B24" s="5" t="s">
        <v>8</v>
      </c>
      <c r="C24" s="5" t="s">
        <v>21</v>
      </c>
      <c r="D24" s="5">
        <v>5</v>
      </c>
      <c r="E24" s="5">
        <v>600</v>
      </c>
      <c r="F24" s="6">
        <v>3000</v>
      </c>
      <c r="G24" s="5" t="s">
        <v>14</v>
      </c>
    </row>
    <row r="25" spans="1:12">
      <c r="A25" s="4" t="s">
        <v>33</v>
      </c>
      <c r="B25" s="5" t="s">
        <v>12</v>
      </c>
      <c r="C25" s="5" t="s">
        <v>19</v>
      </c>
      <c r="D25" s="5">
        <v>10</v>
      </c>
      <c r="E25" s="5">
        <v>500</v>
      </c>
      <c r="F25" s="6">
        <v>5000</v>
      </c>
      <c r="G25" s="5" t="s">
        <v>10</v>
      </c>
    </row>
    <row r="28" spans="1:12">
      <c r="A28" s="9" t="s">
        <v>42</v>
      </c>
    </row>
    <row r="29" spans="1:12" ht="28.8">
      <c r="A29" s="10" t="s">
        <v>43</v>
      </c>
      <c r="B29" s="10" t="s">
        <v>44</v>
      </c>
    </row>
    <row r="30" spans="1:12">
      <c r="A30" s="5">
        <v>21</v>
      </c>
      <c r="B30" s="5">
        <v>20</v>
      </c>
    </row>
    <row r="31" spans="1:12">
      <c r="A31" s="5">
        <v>22</v>
      </c>
      <c r="B31" s="5">
        <v>16</v>
      </c>
    </row>
    <row r="32" spans="1:12">
      <c r="A32" s="5">
        <v>27</v>
      </c>
      <c r="B32" s="5">
        <v>17</v>
      </c>
      <c r="D32" t="s">
        <v>109</v>
      </c>
    </row>
    <row r="33" spans="1:6">
      <c r="A33" s="5">
        <v>29</v>
      </c>
      <c r="B33" s="5">
        <v>18</v>
      </c>
    </row>
    <row r="36" spans="1:6">
      <c r="A36" s="32" t="s">
        <v>45</v>
      </c>
      <c r="B36" s="32"/>
      <c r="C36" s="32"/>
      <c r="D36" s="32"/>
      <c r="F36" s="34">
        <f>SUMPRODUCT(A30:A33,B30:B33)</f>
        <v>1753</v>
      </c>
    </row>
    <row r="37" spans="1:6">
      <c r="F37" s="34"/>
    </row>
    <row r="38" spans="1:6">
      <c r="A38" s="9" t="s">
        <v>46</v>
      </c>
      <c r="F38" s="34" cm="1">
        <f t="array" ref="F38">SUMPRODUCT((B30:B33&gt;16)*A30:A33)</f>
        <v>77</v>
      </c>
    </row>
    <row r="39" spans="1:6">
      <c r="F39" s="34"/>
    </row>
  </sheetData>
  <mergeCells count="2">
    <mergeCell ref="I19:K19"/>
    <mergeCell ref="A36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topLeftCell="A32" zoomScale="121" workbookViewId="0">
      <selection activeCell="H14" sqref="H14"/>
    </sheetView>
  </sheetViews>
  <sheetFormatPr defaultColWidth="10" defaultRowHeight="14.4"/>
  <cols>
    <col min="1" max="1" width="22.6640625" customWidth="1"/>
    <col min="4" max="4" width="2.5546875" bestFit="1" customWidth="1"/>
    <col min="6" max="6" width="10" style="36"/>
  </cols>
  <sheetData>
    <row r="1" spans="1:13">
      <c r="A1" s="11" t="s">
        <v>47</v>
      </c>
      <c r="B1" s="12" t="s">
        <v>48</v>
      </c>
      <c r="D1" s="13" t="s">
        <v>49</v>
      </c>
      <c r="E1" s="13" t="s">
        <v>50</v>
      </c>
      <c r="F1" s="35"/>
      <c r="K1" s="34">
        <f>COUNTIF(A2:A22,"*Name*")</f>
        <v>1</v>
      </c>
    </row>
    <row r="2" spans="1:13">
      <c r="A2" s="14" t="s">
        <v>51</v>
      </c>
      <c r="B2" s="13">
        <v>76</v>
      </c>
      <c r="D2" s="13" t="s">
        <v>52</v>
      </c>
      <c r="E2" s="13" t="s">
        <v>53</v>
      </c>
      <c r="F2" s="35"/>
      <c r="K2" s="34">
        <f>COUNTIF(A2:A22,"+22*")</f>
        <v>0</v>
      </c>
    </row>
    <row r="3" spans="1:13">
      <c r="A3" s="14" t="s">
        <v>54</v>
      </c>
      <c r="B3" s="13">
        <v>65</v>
      </c>
      <c r="D3" s="13" t="s">
        <v>55</v>
      </c>
      <c r="E3" s="13" t="s">
        <v>56</v>
      </c>
      <c r="F3" s="35"/>
      <c r="K3" s="34">
        <f>COUNTIF(A2:A22,"?????????")</f>
        <v>0</v>
      </c>
    </row>
    <row r="4" spans="1:13">
      <c r="A4" s="14" t="s">
        <v>57</v>
      </c>
      <c r="B4" s="13">
        <v>64</v>
      </c>
      <c r="D4" s="13" t="s">
        <v>58</v>
      </c>
      <c r="E4" s="13" t="s">
        <v>59</v>
      </c>
      <c r="F4" s="35"/>
      <c r="K4" s="34">
        <f>SUMIF(A2:A22,"*Promo*",B2:B22)</f>
        <v>64</v>
      </c>
    </row>
    <row r="5" spans="1:13">
      <c r="A5" s="14" t="s">
        <v>60</v>
      </c>
      <c r="B5" s="13">
        <v>84</v>
      </c>
      <c r="D5" s="13" t="s">
        <v>61</v>
      </c>
      <c r="E5" s="13" t="s">
        <v>62</v>
      </c>
      <c r="F5" s="35"/>
      <c r="K5" s="34">
        <f>COUNTIF(A2:A22,"~*3*")</f>
        <v>0</v>
      </c>
    </row>
    <row r="6" spans="1:13">
      <c r="A6" s="14" t="s">
        <v>63</v>
      </c>
      <c r="B6" s="13">
        <v>64</v>
      </c>
      <c r="D6" s="13" t="s">
        <v>64</v>
      </c>
      <c r="E6" s="13" t="s">
        <v>65</v>
      </c>
      <c r="F6" s="35"/>
      <c r="M6" s="34">
        <f>COUNTIFS(A2:A22,"*Name*",A2:A22,"&lt;&gt;*What*")</f>
        <v>1</v>
      </c>
    </row>
    <row r="7" spans="1:13">
      <c r="A7" s="14" t="s">
        <v>66</v>
      </c>
      <c r="B7" s="13">
        <v>72</v>
      </c>
    </row>
    <row r="8" spans="1:13">
      <c r="A8" s="14">
        <f>5678-123456</f>
        <v>-117778</v>
      </c>
      <c r="B8" s="13">
        <v>95</v>
      </c>
    </row>
    <row r="9" spans="1:13">
      <c r="A9" s="14" t="s">
        <v>67</v>
      </c>
      <c r="B9" s="13">
        <v>83</v>
      </c>
    </row>
    <row r="10" spans="1:13">
      <c r="A10" s="14" t="s">
        <v>68</v>
      </c>
      <c r="B10" s="13">
        <v>74</v>
      </c>
    </row>
    <row r="11" spans="1:13">
      <c r="A11" s="14" t="s">
        <v>69</v>
      </c>
      <c r="B11" s="13">
        <v>98</v>
      </c>
    </row>
    <row r="12" spans="1:13">
      <c r="A12" s="14">
        <f>44-78912345</f>
        <v>-78912301</v>
      </c>
      <c r="B12" s="13">
        <v>59</v>
      </c>
    </row>
    <row r="13" spans="1:13">
      <c r="A13" s="14" t="s">
        <v>70</v>
      </c>
      <c r="B13" s="13">
        <v>68</v>
      </c>
    </row>
    <row r="14" spans="1:13">
      <c r="A14" s="14" t="s">
        <v>71</v>
      </c>
      <c r="B14" s="13">
        <v>73</v>
      </c>
    </row>
    <row r="15" spans="1:13">
      <c r="A15" s="14">
        <f>55-23456789</f>
        <v>-23456734</v>
      </c>
      <c r="B15" s="13">
        <v>73</v>
      </c>
    </row>
    <row r="16" spans="1:13">
      <c r="A16" s="14" t="s">
        <v>72</v>
      </c>
      <c r="B16" s="13">
        <v>94</v>
      </c>
    </row>
    <row r="17" spans="1:2">
      <c r="A17" s="14" t="s">
        <v>73</v>
      </c>
      <c r="B17" s="13">
        <v>88</v>
      </c>
    </row>
    <row r="18" spans="1:2">
      <c r="A18" s="14">
        <f>33-654321098</f>
        <v>-654321065</v>
      </c>
      <c r="B18" s="13">
        <v>84</v>
      </c>
    </row>
    <row r="19" spans="1:2">
      <c r="A19" s="14" t="s">
        <v>74</v>
      </c>
      <c r="B19" s="13">
        <v>97</v>
      </c>
    </row>
    <row r="20" spans="1:2">
      <c r="A20" s="14">
        <f>22-987654321</f>
        <v>-987654299</v>
      </c>
      <c r="B20" s="13">
        <v>64</v>
      </c>
    </row>
    <row r="21" spans="1:2">
      <c r="A21" s="14">
        <f>22-987654321</f>
        <v>-987654299</v>
      </c>
      <c r="B21" s="13">
        <v>100</v>
      </c>
    </row>
    <row r="22" spans="1:2">
      <c r="A22" s="14">
        <f>22-987654321</f>
        <v>-987654299</v>
      </c>
      <c r="B22" s="13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zoomScale="82" workbookViewId="0">
      <selection activeCell="F2" sqref="F2"/>
    </sheetView>
  </sheetViews>
  <sheetFormatPr defaultColWidth="10" defaultRowHeight="14.4"/>
  <sheetData>
    <row r="1" spans="1:11">
      <c r="A1" s="15" t="s">
        <v>75</v>
      </c>
      <c r="B1" s="15" t="s">
        <v>76</v>
      </c>
      <c r="C1" s="15" t="s">
        <v>77</v>
      </c>
    </row>
    <row r="2" spans="1:11">
      <c r="A2" s="16">
        <v>1</v>
      </c>
      <c r="B2" s="16">
        <v>100</v>
      </c>
      <c r="C2" s="16">
        <f>A2+B2</f>
        <v>101</v>
      </c>
    </row>
    <row r="3" spans="1:11">
      <c r="A3" s="16">
        <v>2</v>
      </c>
      <c r="B3" s="16">
        <v>200</v>
      </c>
      <c r="C3" s="41">
        <f>A2*B2</f>
        <v>100</v>
      </c>
    </row>
    <row r="4" spans="1:11">
      <c r="A4" s="16">
        <v>3</v>
      </c>
      <c r="B4" s="16">
        <v>300</v>
      </c>
      <c r="C4" s="16">
        <f>C2+C3</f>
        <v>201</v>
      </c>
    </row>
    <row r="7" spans="1:11">
      <c r="A7" s="17" t="s">
        <v>78</v>
      </c>
      <c r="E7" s="40" t="s">
        <v>110</v>
      </c>
      <c r="F7" s="34"/>
      <c r="G7" s="34"/>
      <c r="H7" s="34"/>
      <c r="I7" s="34"/>
      <c r="J7" s="34"/>
      <c r="K7" s="34"/>
    </row>
    <row r="8" spans="1:11">
      <c r="A8" s="17" t="s">
        <v>79</v>
      </c>
      <c r="E8" s="40" t="s">
        <v>111</v>
      </c>
      <c r="F8" s="34"/>
      <c r="G8" s="34"/>
      <c r="H8" s="34"/>
      <c r="I8" s="34"/>
      <c r="J8" s="34"/>
      <c r="K8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tabSelected="1" workbookViewId="0">
      <selection activeCell="F5" sqref="F5"/>
    </sheetView>
  </sheetViews>
  <sheetFormatPr defaultColWidth="10" defaultRowHeight="14.4"/>
  <sheetData>
    <row r="1" spans="1:8">
      <c r="A1" s="18" t="s">
        <v>80</v>
      </c>
      <c r="B1" s="19" t="s">
        <v>81</v>
      </c>
      <c r="C1" s="19" t="s">
        <v>82</v>
      </c>
      <c r="D1" s="20" t="s">
        <v>83</v>
      </c>
      <c r="E1" s="33">
        <v>1</v>
      </c>
      <c r="F1" s="33">
        <v>2</v>
      </c>
      <c r="G1" s="33">
        <v>3</v>
      </c>
      <c r="H1" s="33">
        <v>4</v>
      </c>
    </row>
    <row r="2" spans="1:8">
      <c r="A2" s="21">
        <v>1</v>
      </c>
      <c r="B2" s="22" t="s">
        <v>84</v>
      </c>
      <c r="C2" s="22" t="s">
        <v>85</v>
      </c>
      <c r="D2" s="23">
        <v>50000</v>
      </c>
      <c r="E2" s="34">
        <f>INDEX(A2:D11,5,4)</f>
        <v>52000</v>
      </c>
      <c r="F2" s="34">
        <f>MATCH("Helen",B2:B11)</f>
        <v>8</v>
      </c>
      <c r="G2" s="34" t="str">
        <f>INDEX(C2:C11, MATCH("Ian", B2:B11, 0))</f>
        <v>HR</v>
      </c>
      <c r="H2" s="34" t="str">
        <f>CHOOSE(2, "HR", "Finance", "Marketing")</f>
        <v>Finance</v>
      </c>
    </row>
    <row r="3" spans="1:8">
      <c r="A3" s="21">
        <v>2</v>
      </c>
      <c r="B3" s="22" t="s">
        <v>86</v>
      </c>
      <c r="C3" s="22" t="s">
        <v>87</v>
      </c>
      <c r="D3" s="23">
        <v>60000</v>
      </c>
    </row>
    <row r="4" spans="1:8">
      <c r="A4" s="21">
        <v>3</v>
      </c>
      <c r="B4" s="22" t="s">
        <v>88</v>
      </c>
      <c r="C4" s="22" t="s">
        <v>89</v>
      </c>
      <c r="D4" s="23">
        <v>55000</v>
      </c>
    </row>
    <row r="5" spans="1:8">
      <c r="A5" s="21">
        <v>4</v>
      </c>
      <c r="B5" s="22" t="s">
        <v>90</v>
      </c>
      <c r="C5" s="22" t="s">
        <v>91</v>
      </c>
      <c r="D5" s="23">
        <v>65000</v>
      </c>
    </row>
    <row r="6" spans="1:8">
      <c r="A6" s="21">
        <v>5</v>
      </c>
      <c r="B6" s="22" t="s">
        <v>92</v>
      </c>
      <c r="C6" s="22" t="s">
        <v>93</v>
      </c>
      <c r="D6" s="23">
        <v>52000</v>
      </c>
    </row>
    <row r="7" spans="1:8">
      <c r="A7" s="21">
        <v>6</v>
      </c>
      <c r="B7" s="22" t="s">
        <v>94</v>
      </c>
      <c r="C7" s="22" t="s">
        <v>95</v>
      </c>
      <c r="D7" s="23">
        <v>57000</v>
      </c>
    </row>
    <row r="8" spans="1:8">
      <c r="A8" s="21">
        <v>7</v>
      </c>
      <c r="B8" s="22" t="s">
        <v>96</v>
      </c>
      <c r="C8" s="22" t="s">
        <v>97</v>
      </c>
      <c r="D8" s="23">
        <v>54000</v>
      </c>
    </row>
    <row r="9" spans="1:8">
      <c r="A9" s="21">
        <v>8</v>
      </c>
      <c r="B9" s="22" t="s">
        <v>98</v>
      </c>
      <c r="C9" s="22" t="s">
        <v>99</v>
      </c>
      <c r="D9" s="23">
        <v>62000</v>
      </c>
    </row>
    <row r="10" spans="1:8">
      <c r="A10" s="21">
        <v>9</v>
      </c>
      <c r="B10" s="22" t="s">
        <v>100</v>
      </c>
      <c r="C10" s="22" t="s">
        <v>101</v>
      </c>
      <c r="D10" s="23">
        <v>51000</v>
      </c>
    </row>
    <row r="11" spans="1:8">
      <c r="A11" s="24">
        <v>10</v>
      </c>
      <c r="B11" s="25" t="s">
        <v>102</v>
      </c>
      <c r="C11" s="25" t="s">
        <v>103</v>
      </c>
      <c r="D11" s="26">
        <v>63000</v>
      </c>
    </row>
    <row r="13" spans="1:8">
      <c r="A13" s="27" t="s">
        <v>104</v>
      </c>
    </row>
    <row r="15" spans="1:8">
      <c r="A15" s="28" t="s">
        <v>105</v>
      </c>
    </row>
    <row r="16" spans="1:8">
      <c r="A16" s="28" t="s">
        <v>106</v>
      </c>
    </row>
    <row r="17" spans="1:1">
      <c r="A17" s="28" t="s">
        <v>107</v>
      </c>
    </row>
    <row r="18" spans="1:1">
      <c r="A18" s="28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Q1.</vt:lpstr>
      <vt:lpstr>Q2.</vt:lpstr>
      <vt:lpstr>Q3.</vt:lpstr>
      <vt:lpstr>Q4.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Soni</dc:creator>
  <cp:lastModifiedBy>Sanjana .</cp:lastModifiedBy>
  <dcterms:created xsi:type="dcterms:W3CDTF">2024-12-01T00:26:00Z</dcterms:created>
  <dcterms:modified xsi:type="dcterms:W3CDTF">2025-08-21T08:41:37Z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b43ad1f8930a4b48bc76da15e8a20418</vt:lpwstr>
  </property>
</Properties>
</file>