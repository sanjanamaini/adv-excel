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8_{18C503B9-D0B2-4BCC-88F7-8425DDDD4F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-1" sheetId="1" r:id="rId1"/>
    <sheet name="Ques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N4" i="2"/>
  <c r="N5" i="2"/>
  <c r="N6" i="2"/>
  <c r="N7" i="2"/>
  <c r="N8" i="2"/>
  <c r="N9" i="2"/>
  <c r="N10" i="2"/>
  <c r="N11" i="2"/>
  <c r="N12" i="2"/>
  <c r="N13" i="2"/>
  <c r="N3" i="2"/>
  <c r="M4" i="2"/>
  <c r="M5" i="2"/>
  <c r="M6" i="2"/>
  <c r="M7" i="2"/>
  <c r="M8" i="2"/>
  <c r="M9" i="2"/>
  <c r="M10" i="2"/>
  <c r="M11" i="2"/>
  <c r="M12" i="2"/>
  <c r="M13" i="2"/>
  <c r="M3" i="2"/>
  <c r="L4" i="2"/>
  <c r="L5" i="2"/>
  <c r="L6" i="2"/>
  <c r="L7" i="2"/>
  <c r="L8" i="2"/>
  <c r="L9" i="2"/>
  <c r="L10" i="2"/>
  <c r="L11" i="2"/>
  <c r="L12" i="2"/>
  <c r="L13" i="2"/>
  <c r="L3" i="2"/>
  <c r="J9" i="2"/>
  <c r="K4" i="2"/>
  <c r="K5" i="2"/>
  <c r="K6" i="2"/>
  <c r="K7" i="2"/>
  <c r="K8" i="2"/>
  <c r="K9" i="2"/>
  <c r="K10" i="2"/>
  <c r="K11" i="2"/>
  <c r="K12" i="2"/>
  <c r="K13" i="2"/>
  <c r="K3" i="2"/>
  <c r="J3" i="2"/>
  <c r="J4" i="2"/>
  <c r="J5" i="2"/>
  <c r="J6" i="2"/>
  <c r="J7" i="2"/>
  <c r="J8" i="2"/>
  <c r="J10" i="2"/>
  <c r="J11" i="2"/>
  <c r="J12" i="2"/>
  <c r="J13" i="2"/>
</calcChain>
</file>

<file path=xl/sharedStrings.xml><?xml version="1.0" encoding="utf-8"?>
<sst xmlns="http://schemas.openxmlformats.org/spreadsheetml/2006/main" count="59" uniqueCount="59">
  <si>
    <r>
      <rPr>
        <sz val="10"/>
        <color rgb="FF000000"/>
        <rFont val="Calibri"/>
      </rPr>
      <t>Que 1 - Make a dropdown list for Size &amp;Product and if we change the product and size from drop down then price must change</t>
    </r>
  </si>
  <si>
    <r>
      <rPr>
        <b/>
        <sz val="11"/>
        <color rgb="FF000000"/>
        <rFont val="Calibri"/>
      </rPr>
      <t>Products</t>
    </r>
  </si>
  <si>
    <r>
      <rPr>
        <b/>
        <sz val="11"/>
        <color rgb="FF000000"/>
        <rFont val="Calibri"/>
      </rPr>
      <t>Small</t>
    </r>
  </si>
  <si>
    <r>
      <rPr>
        <b/>
        <sz val="11"/>
        <color rgb="FF000000"/>
        <rFont val="Calibri"/>
      </rPr>
      <t>Medium</t>
    </r>
  </si>
  <si>
    <r>
      <rPr>
        <b/>
        <sz val="11"/>
        <color rgb="FF000000"/>
        <rFont val="Calibri"/>
      </rPr>
      <t>Large</t>
    </r>
  </si>
  <si>
    <r>
      <rPr>
        <sz val="10"/>
        <color rgb="FF000000"/>
        <rFont val="Calibri"/>
      </rPr>
      <t>Sweater</t>
    </r>
  </si>
  <si>
    <r>
      <rPr>
        <sz val="10"/>
        <color rgb="FF000000"/>
        <rFont val="Calibri"/>
      </rPr>
      <t>Jacket</t>
    </r>
  </si>
  <si>
    <r>
      <rPr>
        <sz val="10"/>
        <color rgb="FF000000"/>
        <rFont val="Calibri"/>
      </rPr>
      <t>Pant</t>
    </r>
  </si>
  <si>
    <r>
      <rPr>
        <b/>
        <sz val="11"/>
        <color rgb="FF000000"/>
        <rFont val="Calibri"/>
      </rPr>
      <t>Product:</t>
    </r>
  </si>
  <si>
    <r>
      <rPr>
        <sz val="10"/>
        <color rgb="FF000000"/>
        <rFont val="Calibri"/>
      </rPr>
      <t>Pant</t>
    </r>
  </si>
  <si>
    <r>
      <rPr>
        <b/>
        <sz val="11"/>
        <color rgb="FF000000"/>
        <rFont val="Calibri"/>
      </rPr>
      <t>Size:</t>
    </r>
  </si>
  <si>
    <r>
      <rPr>
        <sz val="10"/>
        <color rgb="FF000000"/>
        <rFont val="Calibri"/>
      </rPr>
      <t>Large</t>
    </r>
  </si>
  <si>
    <r>
      <rPr>
        <b/>
        <sz val="11"/>
        <color rgb="FF000000"/>
        <rFont val="Calibri"/>
      </rPr>
      <t>Price:</t>
    </r>
  </si>
  <si>
    <r>
      <rPr>
        <sz val="11"/>
        <rFont val="Calibri"/>
      </rPr>
      <t>Using Index and match</t>
    </r>
  </si>
  <si>
    <r>
      <rPr>
        <b/>
        <sz val="11"/>
        <color rgb="FF000000"/>
        <rFont val="Calibri"/>
      </rPr>
      <t>Price:</t>
    </r>
  </si>
  <si>
    <r>
      <rPr>
        <sz val="11"/>
        <rFont val="Calibri"/>
      </rPr>
      <t>UsingVlookup</t>
    </r>
  </si>
  <si>
    <r>
      <rPr>
        <b/>
        <sz val="11"/>
        <color rgb="FF000000"/>
        <rFont val="Calibri"/>
      </rPr>
      <t>Price:</t>
    </r>
  </si>
  <si>
    <r>
      <rPr>
        <sz val="11"/>
        <rFont val="Calibri"/>
      </rPr>
      <t>UsingHlookup</t>
    </r>
  </si>
  <si>
    <r>
      <rPr>
        <b/>
        <sz val="11"/>
        <color rgb="FF000000"/>
        <rFont val="Calibri"/>
      </rPr>
      <t>Price:</t>
    </r>
  </si>
  <si>
    <r>
      <rPr>
        <sz val="11"/>
        <rFont val="Calibri"/>
      </rPr>
      <t>Using Hlookup + Match</t>
    </r>
  </si>
  <si>
    <r>
      <rPr>
        <b/>
        <sz val="11"/>
        <color rgb="FF000000"/>
        <rFont val="Calibri"/>
      </rPr>
      <t>Price:</t>
    </r>
  </si>
  <si>
    <r>
      <rPr>
        <sz val="11"/>
        <rFont val="Calibri"/>
      </rPr>
      <t>Using Vlookup + Match</t>
    </r>
  </si>
  <si>
    <r>
      <rPr>
        <b/>
        <sz val="11"/>
        <color rgb="FF000000"/>
        <rFont val="Calibri"/>
      </rPr>
      <t>Data</t>
    </r>
  </si>
  <si>
    <r>
      <rPr>
        <b/>
        <sz val="10"/>
        <color rgb="FF333333"/>
        <rFont val="Calibri"/>
      </rPr>
      <t>Que 2 - Populate name and region wise number using Hlookup/vlookup function from given data set</t>
    </r>
  </si>
  <si>
    <r>
      <rPr>
        <b/>
        <sz val="10"/>
        <color rgb="FF333333"/>
        <rFont val="Calibri"/>
      </rPr>
      <t>Rep</t>
    </r>
  </si>
  <si>
    <r>
      <rPr>
        <b/>
        <sz val="10"/>
        <color rgb="FF000000"/>
        <rFont val="Calibri"/>
      </rPr>
      <t>West</t>
    </r>
  </si>
  <si>
    <r>
      <rPr>
        <b/>
        <sz val="10"/>
        <color rgb="FF000000"/>
        <rFont val="Calibri"/>
      </rPr>
      <t>North</t>
    </r>
  </si>
  <si>
    <r>
      <rPr>
        <b/>
        <sz val="10"/>
        <color rgb="FF000000"/>
        <rFont val="Calibri"/>
      </rPr>
      <t>South</t>
    </r>
  </si>
  <si>
    <r>
      <rPr>
        <b/>
        <sz val="10"/>
        <color rgb="FF000000"/>
        <rFont val="Calibri"/>
      </rPr>
      <t>East</t>
    </r>
  </si>
  <si>
    <r>
      <rPr>
        <b/>
        <sz val="10"/>
        <color rgb="FF000000"/>
        <rFont val="Calibri"/>
      </rPr>
      <t>Central</t>
    </r>
  </si>
  <si>
    <r>
      <rPr>
        <b/>
        <sz val="10"/>
        <color rgb="FF333333"/>
        <rFont val="Calibri"/>
      </rPr>
      <t>Rep</t>
    </r>
  </si>
  <si>
    <r>
      <rPr>
        <b/>
        <sz val="10"/>
        <color rgb="FF000000"/>
        <rFont val="Calibri"/>
      </rPr>
      <t>East</t>
    </r>
  </si>
  <si>
    <r>
      <rPr>
        <b/>
        <sz val="10"/>
        <color rgb="FF000000"/>
        <rFont val="Calibri"/>
      </rPr>
      <t>West</t>
    </r>
  </si>
  <si>
    <r>
      <rPr>
        <b/>
        <sz val="10"/>
        <color rgb="FF000000"/>
        <rFont val="Calibri"/>
      </rPr>
      <t>Central</t>
    </r>
  </si>
  <si>
    <r>
      <rPr>
        <b/>
        <sz val="10"/>
        <color rgb="FF000000"/>
        <rFont val="Calibri"/>
      </rPr>
      <t>South</t>
    </r>
  </si>
  <si>
    <r>
      <rPr>
        <b/>
        <sz val="10"/>
        <color rgb="FF000000"/>
        <rFont val="Calibri"/>
      </rPr>
      <t>North</t>
    </r>
  </si>
  <si>
    <r>
      <rPr>
        <sz val="10"/>
        <color rgb="FF333333"/>
        <rFont val="Calibri"/>
      </rPr>
      <t>Andrews</t>
    </r>
  </si>
  <si>
    <r>
      <rPr>
        <sz val="10"/>
        <color rgb="FF333333"/>
        <rFont val="Calibri"/>
      </rPr>
      <t>Jones</t>
    </r>
  </si>
  <si>
    <r>
      <rPr>
        <sz val="10"/>
        <color rgb="FF333333"/>
        <rFont val="Calibri"/>
      </rPr>
      <t>Kivell</t>
    </r>
  </si>
  <si>
    <r>
      <rPr>
        <sz val="10"/>
        <color rgb="FF333333"/>
        <rFont val="Calibri"/>
      </rPr>
      <t>Kivell</t>
    </r>
  </si>
  <si>
    <r>
      <rPr>
        <sz val="10"/>
        <color rgb="FF333333"/>
        <rFont val="Calibri"/>
      </rPr>
      <t>Jardine</t>
    </r>
  </si>
  <si>
    <r>
      <rPr>
        <sz val="10"/>
        <color rgb="FF333333"/>
        <rFont val="Calibri"/>
      </rPr>
      <t>Jardine</t>
    </r>
  </si>
  <si>
    <r>
      <rPr>
        <sz val="10"/>
        <color rgb="FF333333"/>
        <rFont val="Calibri"/>
      </rPr>
      <t>Gill</t>
    </r>
  </si>
  <si>
    <r>
      <rPr>
        <sz val="10"/>
        <color rgb="FF333333"/>
        <rFont val="Calibri"/>
      </rPr>
      <t>Gill</t>
    </r>
  </si>
  <si>
    <r>
      <rPr>
        <sz val="10"/>
        <color rgb="FF333333"/>
        <rFont val="Calibri"/>
      </rPr>
      <t>JOnes</t>
    </r>
  </si>
  <si>
    <r>
      <rPr>
        <sz val="10"/>
        <color rgb="FF333333"/>
        <rFont val="Calibri"/>
      </rPr>
      <t>Sorvino</t>
    </r>
  </si>
  <si>
    <r>
      <rPr>
        <sz val="10"/>
        <color rgb="FF333333"/>
        <rFont val="Calibri"/>
      </rPr>
      <t>Andrews</t>
    </r>
  </si>
  <si>
    <r>
      <rPr>
        <sz val="10"/>
        <color rgb="FF333333"/>
        <rFont val="Calibri"/>
      </rPr>
      <t>Andrews</t>
    </r>
  </si>
  <si>
    <r>
      <rPr>
        <sz val="10"/>
        <color rgb="FF333333"/>
        <rFont val="Calibri"/>
      </rPr>
      <t>Sorvino</t>
    </r>
  </si>
  <si>
    <r>
      <rPr>
        <sz val="10"/>
        <color rgb="FF333333"/>
        <rFont val="Calibri"/>
      </rPr>
      <t>Thompson</t>
    </r>
  </si>
  <si>
    <r>
      <rPr>
        <sz val="10"/>
        <color rgb="FF333333"/>
        <rFont val="Calibri"/>
      </rPr>
      <t>Morgan</t>
    </r>
  </si>
  <si>
    <r>
      <rPr>
        <sz val="10"/>
        <color rgb="FF333333"/>
        <rFont val="Calibri"/>
      </rPr>
      <t>Morgan</t>
    </r>
  </si>
  <si>
    <r>
      <rPr>
        <sz val="10"/>
        <color rgb="FF333333"/>
        <rFont val="Calibri"/>
      </rPr>
      <t>Howard</t>
    </r>
  </si>
  <si>
    <r>
      <rPr>
        <sz val="10"/>
        <color rgb="FF333333"/>
        <rFont val="Calibri"/>
      </rPr>
      <t>Howard</t>
    </r>
  </si>
  <si>
    <r>
      <rPr>
        <sz val="10"/>
        <color rgb="FF333333"/>
        <rFont val="Calibri"/>
      </rPr>
      <t>Parent</t>
    </r>
  </si>
  <si>
    <r>
      <rPr>
        <sz val="10"/>
        <color rgb="FF333333"/>
        <rFont val="Calibri"/>
      </rPr>
      <t>Parent</t>
    </r>
  </si>
  <si>
    <r>
      <rPr>
        <sz val="10"/>
        <color rgb="FF333333"/>
        <rFont val="Calibri"/>
      </rPr>
      <t>Smith</t>
    </r>
  </si>
  <si>
    <r>
      <rPr>
        <sz val="10"/>
        <color rgb="FF333333"/>
        <rFont val="Calibri"/>
      </rPr>
      <t>Smith</t>
    </r>
  </si>
  <si>
    <t>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</si>
</sst>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0_ "/>
    <numFmt numFmtId="172" formatCode="&quot;$&quot;#,##0"/>
  </numFmts>
  <fonts count="7">
    <font>
      <sz val="11"/>
      <name val="Aptos Narrow"/>
    </font>
    <font>
      <sz val="10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0"/>
      <color rgb="FF333333"/>
      <name val="Calibri"/>
    </font>
    <font>
      <b/>
      <sz val="10"/>
      <color rgb="FF000000"/>
      <name val="Calibri"/>
    </font>
    <font>
      <sz val="10"/>
      <color rgb="FF333333"/>
      <name val="Calibri"/>
    </font>
  </fonts>
  <fills count="8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1" fillId="4" borderId="1" xfId="0" applyFont="1" applyFill="1" applyBorder="1" applyAlignment="1">
      <alignment horizontal="left"/>
    </xf>
    <xf numFmtId="0" fontId="0" fillId="2" borderId="0" xfId="0" applyFill="1" applyAlignment="1">
      <alignment horizontal="right"/>
    </xf>
    <xf numFmtId="164" fontId="0" fillId="5" borderId="1" xfId="0" applyNumberFormat="1" applyFill="1" applyBorder="1" applyAlignment="1"/>
    <xf numFmtId="0" fontId="3" fillId="2" borderId="0" xfId="0" applyFont="1" applyFill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2" fontId="0" fillId="5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116" workbookViewId="0">
      <selection activeCell="F11" sqref="F11"/>
    </sheetView>
  </sheetViews>
  <sheetFormatPr defaultColWidth="10" defaultRowHeight="14.4"/>
  <sheetData>
    <row r="1" spans="1:4">
      <c r="A1" s="1" t="s">
        <v>0</v>
      </c>
    </row>
    <row r="2" spans="1:4">
      <c r="A2" s="2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5</v>
      </c>
      <c r="B3" s="5">
        <v>10</v>
      </c>
      <c r="C3" s="5">
        <v>12</v>
      </c>
      <c r="D3" s="5">
        <v>15</v>
      </c>
    </row>
    <row r="4" spans="1:4">
      <c r="A4" s="4" t="s">
        <v>6</v>
      </c>
      <c r="B4" s="5">
        <v>30</v>
      </c>
      <c r="C4" s="5">
        <v>35</v>
      </c>
      <c r="D4" s="5">
        <v>40</v>
      </c>
    </row>
    <row r="5" spans="1:4">
      <c r="A5" s="4" t="s">
        <v>7</v>
      </c>
      <c r="B5" s="5">
        <v>25</v>
      </c>
      <c r="C5" s="5">
        <v>30</v>
      </c>
      <c r="D5" s="5">
        <v>35</v>
      </c>
    </row>
    <row r="7" spans="1:4">
      <c r="A7" s="6" t="s">
        <v>8</v>
      </c>
      <c r="B7" s="7" t="s">
        <v>9</v>
      </c>
    </row>
    <row r="8" spans="1:4">
      <c r="A8" s="8"/>
    </row>
    <row r="9" spans="1:4">
      <c r="A9" s="6" t="s">
        <v>10</v>
      </c>
      <c r="B9" s="7" t="s">
        <v>11</v>
      </c>
    </row>
    <row r="11" spans="1:4">
      <c r="A11" s="6" t="s">
        <v>12</v>
      </c>
      <c r="B11" s="18">
        <f>INDEX(B3:D5, MATCH(B7, A3:A5, 0), MATCH(B9, B2:D2, 0))</f>
        <v>35</v>
      </c>
      <c r="C11" s="10" t="s">
        <v>13</v>
      </c>
    </row>
    <row r="12" spans="1:4">
      <c r="A12" s="6" t="s">
        <v>14</v>
      </c>
      <c r="B12" s="18">
        <f>VLOOKUP(B7,A2:D5,4,0)</f>
        <v>35</v>
      </c>
      <c r="C12" s="10" t="s">
        <v>15</v>
      </c>
    </row>
    <row r="13" spans="1:4">
      <c r="A13" s="6" t="s">
        <v>16</v>
      </c>
      <c r="B13" s="18">
        <f>HLOOKUP(B9,A2:D5,4,0)</f>
        <v>35</v>
      </c>
      <c r="C13" s="10" t="s">
        <v>17</v>
      </c>
    </row>
    <row r="14" spans="1:4">
      <c r="A14" s="6" t="s">
        <v>18</v>
      </c>
      <c r="B14" s="9">
        <f>HLOOKUP(B9, A2:D5, MATCH(B7, A3:A5, 0)+1, 0)</f>
        <v>35</v>
      </c>
      <c r="C14" s="10" t="s">
        <v>19</v>
      </c>
    </row>
    <row r="15" spans="1:4">
      <c r="A15" s="6" t="s">
        <v>20</v>
      </c>
      <c r="B15" s="9">
        <f>VLOOKUP(B7, A3:D5, MATCH(B9, B2:D2, 0)+1, 0)</f>
        <v>35</v>
      </c>
      <c r="C15" s="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abSelected="1" zoomScaleNormal="100" workbookViewId="0">
      <selection activeCell="K18" sqref="K18"/>
    </sheetView>
  </sheetViews>
  <sheetFormatPr defaultColWidth="10" defaultRowHeight="14.4"/>
  <sheetData>
    <row r="1" spans="1:14">
      <c r="A1" s="17" t="s">
        <v>22</v>
      </c>
      <c r="B1" s="17"/>
      <c r="C1" s="17"/>
      <c r="D1" s="17"/>
      <c r="E1" s="17"/>
      <c r="F1" s="17"/>
      <c r="I1" s="16" t="s">
        <v>23</v>
      </c>
      <c r="J1" s="16"/>
      <c r="K1" s="16"/>
      <c r="L1" s="16"/>
      <c r="M1" s="16"/>
      <c r="N1" s="16"/>
    </row>
    <row r="2" spans="1:14">
      <c r="A2" s="11" t="s">
        <v>24</v>
      </c>
      <c r="B2" s="12" t="s">
        <v>25</v>
      </c>
      <c r="C2" s="12" t="s">
        <v>26</v>
      </c>
      <c r="D2" s="12" t="s">
        <v>27</v>
      </c>
      <c r="E2" s="12" t="s">
        <v>28</v>
      </c>
      <c r="F2" s="12" t="s">
        <v>29</v>
      </c>
      <c r="I2" s="11" t="s">
        <v>30</v>
      </c>
      <c r="J2" s="12" t="s">
        <v>31</v>
      </c>
      <c r="K2" s="12" t="s">
        <v>32</v>
      </c>
      <c r="L2" s="12" t="s">
        <v>33</v>
      </c>
      <c r="M2" s="12" t="s">
        <v>34</v>
      </c>
      <c r="N2" s="12" t="s">
        <v>35</v>
      </c>
    </row>
    <row r="3" spans="1:14">
      <c r="A3" s="13" t="s">
        <v>36</v>
      </c>
      <c r="B3" s="14">
        <v>45</v>
      </c>
      <c r="C3" s="14">
        <v>84</v>
      </c>
      <c r="D3" s="14">
        <v>355</v>
      </c>
      <c r="E3" s="14">
        <v>33</v>
      </c>
      <c r="F3" s="14">
        <v>445</v>
      </c>
      <c r="I3" s="13" t="s">
        <v>37</v>
      </c>
      <c r="J3" s="15">
        <f>VLOOKUP(I3,$A$3:$F$14,5,0)</f>
        <v>111</v>
      </c>
      <c r="K3" s="15">
        <f>VLOOKUP(I3,$A$3:$F$14,2,0)</f>
        <v>102</v>
      </c>
      <c r="L3" s="15">
        <f>VLOOKUP(I3,$A$3:$F$14,6,0)</f>
        <v>383</v>
      </c>
      <c r="M3" s="15">
        <f>VLOOKUP(I3,$A$3:$F$14,4,0)</f>
        <v>210</v>
      </c>
      <c r="N3" s="15">
        <f>VLOOKUP(I3,$A$3:$F$14,3,0)</f>
        <v>377</v>
      </c>
    </row>
    <row r="4" spans="1:14">
      <c r="A4" s="13" t="s">
        <v>38</v>
      </c>
      <c r="B4" s="14">
        <v>387</v>
      </c>
      <c r="C4" s="14">
        <v>336</v>
      </c>
      <c r="D4" s="14">
        <v>120</v>
      </c>
      <c r="E4" s="14">
        <v>117</v>
      </c>
      <c r="F4" s="14">
        <v>165</v>
      </c>
      <c r="I4" s="13" t="s">
        <v>39</v>
      </c>
      <c r="J4" s="15">
        <f t="shared" ref="J4:J13" si="0">VLOOKUP(I4,$A$3:$F$14,5,0)</f>
        <v>117</v>
      </c>
      <c r="K4" s="15">
        <f t="shared" ref="K4:K13" si="1">VLOOKUP(I4,$A$3:$F$14,2,0)</f>
        <v>387</v>
      </c>
      <c r="L4" s="15">
        <f t="shared" ref="L4:L13" si="2">VLOOKUP(I4,$A$3:$F$14,6,0)</f>
        <v>165</v>
      </c>
      <c r="M4" s="15">
        <f t="shared" ref="M4:M13" si="3">VLOOKUP(I4,$A$3:$F$14,4,0)</f>
        <v>120</v>
      </c>
      <c r="N4" s="15">
        <f t="shared" ref="N4:N13" si="4">VLOOKUP(I4,$A$3:$F$14,3,0)</f>
        <v>336</v>
      </c>
    </row>
    <row r="5" spans="1:14">
      <c r="A5" s="13" t="s">
        <v>40</v>
      </c>
      <c r="B5" s="14">
        <v>224</v>
      </c>
      <c r="C5" s="14">
        <v>260</v>
      </c>
      <c r="D5" s="14">
        <v>331</v>
      </c>
      <c r="E5" s="14">
        <v>213</v>
      </c>
      <c r="F5" s="14">
        <v>260</v>
      </c>
      <c r="I5" s="13" t="s">
        <v>41</v>
      </c>
      <c r="J5" s="15">
        <f t="shared" si="0"/>
        <v>213</v>
      </c>
      <c r="K5" s="15">
        <f t="shared" si="1"/>
        <v>224</v>
      </c>
      <c r="L5" s="15">
        <f t="shared" si="2"/>
        <v>260</v>
      </c>
      <c r="M5" s="15">
        <f t="shared" si="3"/>
        <v>331</v>
      </c>
      <c r="N5" s="15">
        <f t="shared" si="4"/>
        <v>260</v>
      </c>
    </row>
    <row r="6" spans="1:14">
      <c r="A6" s="13" t="s">
        <v>42</v>
      </c>
      <c r="B6" s="14">
        <v>61</v>
      </c>
      <c r="C6" s="14">
        <v>122</v>
      </c>
      <c r="D6" s="14">
        <v>226</v>
      </c>
      <c r="E6" s="14">
        <v>406</v>
      </c>
      <c r="F6" s="14">
        <v>463</v>
      </c>
      <c r="I6" s="13" t="s">
        <v>43</v>
      </c>
      <c r="J6" s="15">
        <f t="shared" si="0"/>
        <v>406</v>
      </c>
      <c r="K6" s="15">
        <f t="shared" si="1"/>
        <v>61</v>
      </c>
      <c r="L6" s="15">
        <f t="shared" si="2"/>
        <v>463</v>
      </c>
      <c r="M6" s="15">
        <f t="shared" si="3"/>
        <v>226</v>
      </c>
      <c r="N6" s="15">
        <f t="shared" si="4"/>
        <v>122</v>
      </c>
    </row>
    <row r="7" spans="1:14">
      <c r="A7" s="13" t="s">
        <v>44</v>
      </c>
      <c r="B7" s="14">
        <v>102</v>
      </c>
      <c r="C7" s="14">
        <v>377</v>
      </c>
      <c r="D7" s="14">
        <v>210</v>
      </c>
      <c r="E7" s="14">
        <v>111</v>
      </c>
      <c r="F7" s="14">
        <v>383</v>
      </c>
      <c r="I7" s="13" t="s">
        <v>45</v>
      </c>
      <c r="J7" s="15">
        <f t="shared" si="0"/>
        <v>477</v>
      </c>
      <c r="K7" s="15">
        <f t="shared" si="1"/>
        <v>178</v>
      </c>
      <c r="L7" s="15">
        <f t="shared" si="2"/>
        <v>498</v>
      </c>
      <c r="M7" s="15">
        <f t="shared" si="3"/>
        <v>174</v>
      </c>
      <c r="N7" s="15">
        <f t="shared" si="4"/>
        <v>429</v>
      </c>
    </row>
    <row r="8" spans="1:14">
      <c r="A8" s="13" t="s">
        <v>46</v>
      </c>
      <c r="B8" s="14">
        <v>161</v>
      </c>
      <c r="C8" s="14">
        <v>468</v>
      </c>
      <c r="D8" s="14">
        <v>318</v>
      </c>
      <c r="E8" s="14">
        <v>17</v>
      </c>
      <c r="F8" s="14">
        <v>137</v>
      </c>
      <c r="I8" s="13" t="s">
        <v>47</v>
      </c>
      <c r="J8" s="15">
        <f t="shared" si="0"/>
        <v>33</v>
      </c>
      <c r="K8" s="15">
        <f t="shared" si="1"/>
        <v>45</v>
      </c>
      <c r="L8" s="15">
        <f t="shared" si="2"/>
        <v>445</v>
      </c>
      <c r="M8" s="15">
        <f t="shared" si="3"/>
        <v>355</v>
      </c>
      <c r="N8" s="15">
        <f t="shared" si="4"/>
        <v>84</v>
      </c>
    </row>
    <row r="9" spans="1:14">
      <c r="A9" s="13" t="s">
        <v>48</v>
      </c>
      <c r="B9" s="14">
        <v>178</v>
      </c>
      <c r="C9" s="14">
        <v>429</v>
      </c>
      <c r="D9" s="14">
        <v>174</v>
      </c>
      <c r="E9" s="14">
        <v>477</v>
      </c>
      <c r="F9" s="14">
        <v>498</v>
      </c>
      <c r="I9" s="13" t="s">
        <v>49</v>
      </c>
      <c r="J9" s="15">
        <f>VLOOKUP(I9,$A$3:$F$14,5,0)</f>
        <v>43</v>
      </c>
      <c r="K9" s="15">
        <f t="shared" si="1"/>
        <v>444</v>
      </c>
      <c r="L9" s="15">
        <f t="shared" si="2"/>
        <v>555</v>
      </c>
      <c r="M9" s="15">
        <f t="shared" si="3"/>
        <v>44</v>
      </c>
      <c r="N9" s="15">
        <f t="shared" si="4"/>
        <v>32</v>
      </c>
    </row>
    <row r="10" spans="1:14">
      <c r="A10" s="13" t="s">
        <v>50</v>
      </c>
      <c r="B10" s="14">
        <v>300</v>
      </c>
      <c r="C10" s="14">
        <v>113</v>
      </c>
      <c r="D10" s="14">
        <v>249</v>
      </c>
      <c r="E10" s="14">
        <v>211</v>
      </c>
      <c r="F10" s="14">
        <v>394</v>
      </c>
      <c r="I10" s="13" t="s">
        <v>51</v>
      </c>
      <c r="J10" s="15">
        <f t="shared" si="0"/>
        <v>211</v>
      </c>
      <c r="K10" s="15">
        <f t="shared" si="1"/>
        <v>300</v>
      </c>
      <c r="L10" s="15">
        <f t="shared" si="2"/>
        <v>394</v>
      </c>
      <c r="M10" s="15">
        <f t="shared" si="3"/>
        <v>249</v>
      </c>
      <c r="N10" s="15">
        <f t="shared" si="4"/>
        <v>113</v>
      </c>
    </row>
    <row r="11" spans="1:14">
      <c r="A11" s="13" t="s">
        <v>52</v>
      </c>
      <c r="B11" s="14">
        <v>301</v>
      </c>
      <c r="C11" s="14">
        <v>120</v>
      </c>
      <c r="D11" s="14">
        <v>82</v>
      </c>
      <c r="E11" s="14">
        <v>50</v>
      </c>
      <c r="F11" s="14">
        <v>76</v>
      </c>
      <c r="I11" s="13" t="s">
        <v>53</v>
      </c>
      <c r="J11" s="15">
        <f t="shared" si="0"/>
        <v>50</v>
      </c>
      <c r="K11" s="15">
        <f t="shared" si="1"/>
        <v>301</v>
      </c>
      <c r="L11" s="15">
        <f t="shared" si="2"/>
        <v>76</v>
      </c>
      <c r="M11" s="15">
        <f t="shared" si="3"/>
        <v>82</v>
      </c>
      <c r="N11" s="15">
        <f t="shared" si="4"/>
        <v>120</v>
      </c>
    </row>
    <row r="12" spans="1:14">
      <c r="A12" s="13" t="s">
        <v>54</v>
      </c>
      <c r="B12" s="14">
        <v>479</v>
      </c>
      <c r="C12" s="14">
        <v>94</v>
      </c>
      <c r="D12" s="14">
        <v>105</v>
      </c>
      <c r="E12" s="14">
        <v>22</v>
      </c>
      <c r="F12" s="14">
        <v>278</v>
      </c>
      <c r="I12" s="13" t="s">
        <v>55</v>
      </c>
      <c r="J12" s="15">
        <f t="shared" si="0"/>
        <v>22</v>
      </c>
      <c r="K12" s="15">
        <f t="shared" si="1"/>
        <v>479</v>
      </c>
      <c r="L12" s="15">
        <f t="shared" si="2"/>
        <v>278</v>
      </c>
      <c r="M12" s="15">
        <f t="shared" si="3"/>
        <v>105</v>
      </c>
      <c r="N12" s="15">
        <f t="shared" si="4"/>
        <v>94</v>
      </c>
    </row>
    <row r="13" spans="1:14">
      <c r="A13" s="13" t="s">
        <v>58</v>
      </c>
      <c r="B13" s="14">
        <v>444</v>
      </c>
      <c r="C13" s="14">
        <v>32</v>
      </c>
      <c r="D13" s="14">
        <v>44</v>
      </c>
      <c r="E13" s="14">
        <v>43</v>
      </c>
      <c r="F13" s="14">
        <v>555</v>
      </c>
      <c r="I13" s="13" t="s">
        <v>56</v>
      </c>
      <c r="J13" s="15">
        <f t="shared" si="0"/>
        <v>140</v>
      </c>
      <c r="K13" s="15">
        <f t="shared" si="1"/>
        <v>78</v>
      </c>
      <c r="L13" s="15">
        <f t="shared" si="2"/>
        <v>417</v>
      </c>
      <c r="M13" s="15">
        <f t="shared" si="3"/>
        <v>470</v>
      </c>
      <c r="N13" s="15">
        <f t="shared" si="4"/>
        <v>253</v>
      </c>
    </row>
    <row r="14" spans="1:14">
      <c r="A14" s="13" t="s">
        <v>57</v>
      </c>
      <c r="B14" s="14">
        <v>78</v>
      </c>
      <c r="C14" s="14">
        <v>253</v>
      </c>
      <c r="D14" s="14">
        <v>470</v>
      </c>
      <c r="E14" s="14">
        <v>140</v>
      </c>
      <c r="F14" s="14">
        <v>417</v>
      </c>
    </row>
  </sheetData>
  <mergeCells count="2">
    <mergeCell ref="I1:N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Ques-1</vt:lpstr>
      <vt:lpstr>Ques-2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RMX5032</dc:creator>
  <cp:lastModifiedBy>Sanjana .</cp:lastModifiedBy>
  <dcterms:created xsi:type="dcterms:W3CDTF">2025-08-22T12:12:50Z</dcterms:created>
  <dcterms:modified xsi:type="dcterms:W3CDTF">2025-08-28T14:06:05Z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dd90688c27754fd6965a6ca67cc75b3c</vt:lpwstr>
  </property>
</Properties>
</file>