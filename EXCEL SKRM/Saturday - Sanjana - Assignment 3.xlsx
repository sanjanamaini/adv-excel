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053543EB-EFF9-45C7-86C1-A386EF26A1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f,Nested If, Ifs" sheetId="1" r:id="rId1"/>
    <sheet name="Referencing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2" i="3"/>
  <c r="K3" i="3"/>
  <c r="K4" i="3"/>
  <c r="K5" i="3"/>
  <c r="K6" i="3"/>
  <c r="K2" i="3"/>
  <c r="J3" i="3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  <c r="G3" i="3"/>
  <c r="G4" i="3"/>
  <c r="G5" i="3"/>
  <c r="G6" i="3"/>
  <c r="G2" i="3"/>
  <c r="F3" i="3"/>
  <c r="F4" i="3"/>
  <c r="F5" i="3"/>
  <c r="F6" i="3"/>
  <c r="F2" i="3"/>
  <c r="K6" i="2"/>
  <c r="K7" i="2"/>
  <c r="K8" i="2"/>
  <c r="K9" i="2"/>
  <c r="K10" i="2"/>
  <c r="K11" i="2"/>
  <c r="K12" i="2"/>
  <c r="K13" i="2"/>
  <c r="K14" i="2"/>
  <c r="K5" i="2"/>
  <c r="G6" i="2"/>
  <c r="G7" i="2"/>
  <c r="G8" i="2"/>
  <c r="G9" i="2"/>
  <c r="G10" i="2"/>
  <c r="G11" i="2"/>
  <c r="G12" i="2"/>
  <c r="G13" i="2"/>
  <c r="G14" i="2"/>
  <c r="F6" i="2"/>
  <c r="F7" i="2"/>
  <c r="F8" i="2"/>
  <c r="F9" i="2"/>
  <c r="F10" i="2"/>
  <c r="F11" i="2"/>
  <c r="F12" i="2"/>
  <c r="F13" i="2"/>
  <c r="F14" i="2"/>
  <c r="E6" i="2"/>
  <c r="E7" i="2"/>
  <c r="E8" i="2"/>
  <c r="E9" i="2"/>
  <c r="E10" i="2"/>
  <c r="E11" i="2"/>
  <c r="E12" i="2"/>
  <c r="E13" i="2"/>
  <c r="E14" i="2"/>
  <c r="D6" i="2"/>
  <c r="D7" i="2"/>
  <c r="D8" i="2"/>
  <c r="D9" i="2"/>
  <c r="D10" i="2"/>
  <c r="D11" i="2"/>
  <c r="D12" i="2"/>
  <c r="D13" i="2"/>
  <c r="D14" i="2"/>
  <c r="C6" i="2"/>
  <c r="C7" i="2"/>
  <c r="C8" i="2"/>
  <c r="C9" i="2"/>
  <c r="C10" i="2"/>
  <c r="C11" i="2"/>
  <c r="C12" i="2"/>
  <c r="C13" i="2"/>
  <c r="C14" i="2"/>
  <c r="C5" i="2"/>
  <c r="D5" i="2"/>
  <c r="E5" i="2"/>
  <c r="F5" i="2"/>
  <c r="G5" i="2"/>
  <c r="B6" i="2"/>
  <c r="B7" i="2"/>
  <c r="B8" i="2"/>
  <c r="B9" i="2"/>
  <c r="B10" i="2"/>
  <c r="B11" i="2"/>
  <c r="B12" i="2"/>
  <c r="B13" i="2"/>
  <c r="B14" i="2"/>
  <c r="B5" i="2"/>
  <c r="O3" i="1"/>
  <c r="O4" i="1"/>
  <c r="O5" i="1"/>
  <c r="O6" i="1"/>
  <c r="O2" i="1"/>
  <c r="N3" i="1" a="1"/>
  <c r="N3" i="1"/>
  <c r="N4" i="1" a="1"/>
  <c r="N4" i="1"/>
  <c r="N5" i="1" a="1"/>
  <c r="N5" i="1"/>
  <c r="N6" i="1" a="1"/>
  <c r="N6" i="1"/>
  <c r="N2" i="1" a="1"/>
  <c r="N2" i="1" s="1"/>
  <c r="M3" i="1" a="1"/>
  <c r="M3" i="1" s="1"/>
  <c r="M4" i="1" a="1"/>
  <c r="M4" i="1" s="1"/>
  <c r="M5" i="1" a="1"/>
  <c r="M5" i="1" s="1"/>
  <c r="M6" i="1" a="1"/>
  <c r="M6" i="1" s="1"/>
  <c r="M2" i="1" a="1"/>
  <c r="M2" i="1" s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 a="1"/>
  <c r="I3" i="1"/>
  <c r="I4" i="1" a="1"/>
  <c r="I4" i="1"/>
  <c r="I5" i="1" a="1"/>
  <c r="I5" i="1"/>
  <c r="I6" i="1" a="1"/>
  <c r="I6" i="1"/>
  <c r="I2" i="1" a="1"/>
  <c r="I2" i="1"/>
  <c r="H3" i="1" a="1"/>
  <c r="H3" i="1" s="1"/>
  <c r="H4" i="1" a="1"/>
  <c r="H4" i="1" s="1"/>
  <c r="H5" i="1" a="1"/>
  <c r="H5" i="1" s="1"/>
  <c r="H6" i="1" a="1"/>
  <c r="H6" i="1"/>
  <c r="H2" i="1" a="1"/>
  <c r="H2" i="1" s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<sst xmlns="http://schemas.openxmlformats.org/spreadsheetml/2006/main" count="42" uniqueCount="40">
  <si>
    <t>Employee</t>
  </si>
  <si>
    <t>Department</t>
  </si>
  <si>
    <t>Salary</t>
  </si>
  <si>
    <t>Years of Service</t>
  </si>
  <si>
    <t>Performance Score</t>
  </si>
  <si>
    <t>Anil</t>
  </si>
  <si>
    <t>HR</t>
  </si>
  <si>
    <t>Meera</t>
  </si>
  <si>
    <t>Sales</t>
  </si>
  <si>
    <t>Raj</t>
  </si>
  <si>
    <t>IT</t>
  </si>
  <si>
    <t>Sunita</t>
  </si>
  <si>
    <t>Vikram</t>
  </si>
  <si>
    <t>Add</t>
  </si>
  <si>
    <t>Question 1:Write Formula to create table from 5 to 10 using Relative and Absolute Referencing. Use the values from Cell A5 to A14 ad Cell B4 to G to apply formula</t>
  </si>
  <si>
    <t>Question 2:Write Formula to add Values from Cell J5 to J14 with Cell K4 and store result in Cell from K5 to K14</t>
  </si>
  <si>
    <r>
      <rPr>
        <sz val="11"/>
        <color rgb="FF000000"/>
        <rFont val="Calibri"/>
      </rPr>
      <t>Name</t>
    </r>
  </si>
  <si>
    <r>
      <rPr>
        <sz val="11"/>
        <color rgb="FF000000"/>
        <rFont val="Calibri"/>
      </rPr>
      <t>English</t>
    </r>
  </si>
  <si>
    <r>
      <rPr>
        <sz val="11"/>
        <color rgb="FF000000"/>
        <rFont val="Calibri"/>
      </rPr>
      <t xml:space="preserve">Hindi </t>
    </r>
  </si>
  <si>
    <r>
      <rPr>
        <sz val="11"/>
        <color rgb="FF000000"/>
        <rFont val="Calibri"/>
      </rPr>
      <t>Maths</t>
    </r>
  </si>
  <si>
    <r>
      <rPr>
        <sz val="11"/>
        <color rgb="FF000000"/>
        <rFont val="Calibri"/>
      </rPr>
      <t>Q1.</t>
    </r>
  </si>
  <si>
    <r>
      <rPr>
        <sz val="11"/>
        <color rgb="FF000000"/>
        <rFont val="Calibri"/>
      </rPr>
      <t>Q2.</t>
    </r>
  </si>
  <si>
    <r>
      <rPr>
        <sz val="11"/>
        <color rgb="FF000000"/>
        <rFont val="Calibri"/>
      </rPr>
      <t>Q3.</t>
    </r>
  </si>
  <si>
    <r>
      <rPr>
        <sz val="11"/>
        <color rgb="FF000000"/>
        <rFont val="Calibri"/>
      </rPr>
      <t>Q4.</t>
    </r>
  </si>
  <si>
    <r>
      <rPr>
        <sz val="11"/>
        <color rgb="FF000000"/>
        <rFont val="Calibri"/>
      </rPr>
      <t>Q5.</t>
    </r>
  </si>
  <si>
    <r>
      <rPr>
        <sz val="11"/>
        <color rgb="FF000000"/>
        <rFont val="Calibri"/>
      </rPr>
      <t>Q6.</t>
    </r>
  </si>
  <si>
    <r>
      <rPr>
        <sz val="11"/>
        <color rgb="FF000000"/>
        <rFont val="Calibri"/>
      </rPr>
      <t>Q7.</t>
    </r>
  </si>
  <si>
    <r>
      <rPr>
        <sz val="11"/>
        <color rgb="FF000000"/>
        <rFont val="Calibri"/>
      </rPr>
      <t>Rahul</t>
    </r>
  </si>
  <si>
    <r>
      <rPr>
        <sz val="11"/>
        <color rgb="FF000000"/>
        <rFont val="Calibri"/>
      </rPr>
      <t>Diksha</t>
    </r>
  </si>
  <si>
    <r>
      <rPr>
        <sz val="11"/>
        <color rgb="FF000000"/>
        <rFont val="Calibri"/>
      </rPr>
      <t>Kuldeep</t>
    </r>
  </si>
  <si>
    <r>
      <rPr>
        <sz val="11"/>
        <color rgb="FF000000"/>
        <rFont val="Calibri"/>
      </rPr>
      <t>Jayesh</t>
    </r>
  </si>
  <si>
    <r>
      <rPr>
        <sz val="11"/>
        <color rgb="FF000000"/>
        <rFont val="Calibri"/>
      </rPr>
      <t>Nidhi</t>
    </r>
  </si>
  <si>
    <r>
      <rPr>
        <b/>
        <sz val="11"/>
        <color rgb="FF000000"/>
        <rFont val="Calibri"/>
      </rPr>
      <t>Q/A</t>
    </r>
  </si>
  <si>
    <r>
      <rPr>
        <sz val="11"/>
        <rFont val="Arial"/>
      </rPr>
      <t>Q3. Tell us the mean of each students score.</t>
    </r>
  </si>
  <si>
    <r>
      <rPr>
        <sz val="11"/>
        <rFont val="Arial"/>
      </rPr>
      <t>Q4. Maximum score achieve  by each student among all subjects.</t>
    </r>
  </si>
  <si>
    <r>
      <rPr>
        <sz val="11"/>
        <rFont val="Arial"/>
      </rPr>
      <t>Q5. Minimum score achieve  by each student among all subjects.</t>
    </r>
  </si>
  <si>
    <r>
      <rPr>
        <sz val="11"/>
        <rFont val="Arial"/>
      </rPr>
      <t>Q6. Tell us the top 2nd score of subject for each students.</t>
    </r>
  </si>
  <si>
    <t>Q2. Tell us the count of students in the list.</t>
  </si>
  <si>
    <t xml:space="preserve">Q1. Tell us the count of subjects. </t>
  </si>
  <si>
    <t xml:space="preserve">Q7. Tell us the small 3rd score of subject for each students.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</si>
</sst>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b/>
      <sz val="10"/>
      <name val="Aptos Narrow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2B7FCE"/>
        <bgColor indexed="64"/>
      </patternFill>
    </fill>
    <fill>
      <patternFill patternType="solid">
        <fgColor rgb="FF84CAEB"/>
        <bgColor indexed="64"/>
      </patternFill>
    </fill>
    <fill>
      <patternFill patternType="solid">
        <fgColor rgb="FF4C94D9"/>
        <bgColor indexed="64"/>
      </patternFill>
    </fill>
    <fill>
      <patternFill patternType="none"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4" borderId="1" xfId="0" applyFont="1" applyFill="1" applyBorder="1" applyAlignment="1"/>
    <xf numFmtId="0" fontId="1" fillId="3" borderId="1" xfId="0" applyFont="1" applyFill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right"/>
    </xf>
    <xf numFmtId="0" fontId="0" fillId="6" borderId="2" xfId="0" applyFill="1" applyBorder="1" applyAlignment="1"/>
    <xf numFmtId="0" fontId="0" fillId="6" borderId="2" xfId="0" applyFill="1" applyBorder="1" applyAlignment="1">
      <alignment horizontal="left"/>
    </xf>
    <xf numFmtId="2" fontId="0" fillId="6" borderId="2" xfId="0" applyNumberFormat="1" applyFill="1" applyBorder="1" applyAlignment="1"/>
    <xf numFmtId="1" fontId="0" fillId="6" borderId="2" xfId="0" applyNumberFormat="1" applyFill="1" applyBorder="1" applyAlignment="1"/>
    <xf numFmtId="0" fontId="5" fillId="5" borderId="0" xfId="0" applyFont="1" applyFill="1" applyAlignment="1">
      <alignment horizontal="left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" fillId="0" borderId="0" xfId="0" applyFont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0/cell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50601</xdr:rowOff>
    </xdr:from>
    <xdr:to>
      <xdr:col>10</xdr:col>
      <xdr:colOff>361281</xdr:colOff>
      <xdr:row>53</xdr:row>
      <xdr:rowOff>113853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771648"/>
          <a:ext cx="6981825" cy="8829677"/>
        </a:xfrm>
        <a:prstGeom prst="rect">
          <a:avLst/>
        </a:prstGeom>
        <a:solidFill>
          <a:srgbClr val="0E9ED5"/>
        </a:solidFill>
        <a:ln w="9525" cap="flat" cmpd="sng">
          <a:solidFill>
            <a:srgbClr val="0E9ED5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Question 1: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Check Bonus Eligibility:  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Salary &gt; 50000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then show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"Bonus Eligible"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else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"Not Eligible"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Question 2: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Check Performance Status: 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Performance Score ≥ 80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then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"Good Performer"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else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"Average Performer"</a:t>
          </a:r>
        </a:p>
        <a:p>
          <a:pPr algn="l"/>
          <a:endParaRPr/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Question 3: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Appraisal Decision: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Performance Score ≥ 90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"High Increment"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Else 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Performance Score ≥ 75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"Moderate Increment"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Else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"No Increment"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Question 4: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Retention Check: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Years of Service ≥ 5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"Loyal Employee"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Else 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Years of Service ≥ 2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"Stable Employee"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Else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"New Employee"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Question 5: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Promotion Recommendation (AND):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Performance Score ≥ 85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AND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Years of Service ≥ 3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then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"Promotion Recommended"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else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"No Promotion"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Question 6: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Training Requirement (OR):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Performance Score &lt; 70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OR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Years of Service &lt; 2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then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"Training Needed"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else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"No Training"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Question 7: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No Bonus Policy (NOT):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If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NOT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(Performance Score ≥ 75), then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"No Bonus"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, else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"Eligible for Bonus"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Question 8: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Performance Rating: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≥ 90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"Outstanding"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≥ 80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"Excellent"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≥ 70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"Good"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&lt; 70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"Needs Improvement"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Question 9: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Salary Category: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&gt; 60000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"High Salary"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40000 – 60000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"Medium Salary"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&lt; 40000</a:t>
          </a: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→ </a:t>
          </a:r>
          <a:r>
            <a:rPr lang="en-US" altLang="zh-CN" sz="11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"Low Salary"</a:t>
          </a:r>
        </a:p>
        <a:p>
          <a:pPr algn="l"/>
          <a:endParaRPr/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Question 10: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Special Project Eligibility:</a:t>
          </a:r>
        </a:p>
        <a:p>
          <a:pPr algn="l"/>
          <a:r>
            <a:rPr lang="en-US" altLang="zh-CN" sz="11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If Department = "IT" AND Performance ≥ 85,OR Department = "Sales" AND Years of Service ≥ 5,then "Eligible for Project", else "Not Eligible"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>
      <selection activeCell="M5" sqref="M5"/>
    </sheetView>
  </sheetViews>
  <sheetFormatPr defaultColWidth="10" defaultRowHeight="14.4"/>
  <cols>
    <col min="1" max="1" width="9.21875" bestFit="1" customWidth="1"/>
    <col min="2" max="2" width="11" bestFit="1" customWidth="1"/>
    <col min="3" max="3" width="6.21875" bestFit="1" customWidth="1"/>
    <col min="4" max="4" width="7.44140625" bestFit="1" customWidth="1"/>
    <col min="5" max="5" width="11.6640625" bestFit="1" customWidth="1"/>
    <col min="6" max="6" width="12" style="17" bestFit="1" customWidth="1"/>
    <col min="7" max="7" width="16.109375" style="17" bestFit="1" customWidth="1"/>
    <col min="8" max="8" width="17.44140625" style="17" bestFit="1" customWidth="1"/>
    <col min="9" max="9" width="14.21875" style="17" bestFit="1" customWidth="1"/>
    <col min="10" max="10" width="22.21875" style="17" bestFit="1" customWidth="1"/>
    <col min="11" max="11" width="14.109375" style="17" bestFit="1" customWidth="1"/>
    <col min="12" max="12" width="14.6640625" style="17" bestFit="1" customWidth="1"/>
    <col min="13" max="13" width="17.33203125" style="17" bestFit="1" customWidth="1"/>
    <col min="14" max="14" width="12.6640625" style="17" bestFit="1" customWidth="1"/>
    <col min="15" max="15" width="15.44140625" style="17" bestFit="1" customWidth="1"/>
  </cols>
  <sheetData>
    <row r="1" spans="1:21" ht="28.8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>
        <v>1</v>
      </c>
      <c r="G1" s="20">
        <v>2</v>
      </c>
      <c r="H1" s="20">
        <v>3</v>
      </c>
      <c r="I1" s="20">
        <v>4</v>
      </c>
      <c r="J1" s="20">
        <v>5</v>
      </c>
      <c r="K1" s="20">
        <v>6</v>
      </c>
      <c r="L1" s="20">
        <v>7</v>
      </c>
      <c r="M1" s="20">
        <v>8</v>
      </c>
      <c r="N1" s="20">
        <v>9</v>
      </c>
      <c r="O1" s="20">
        <v>10</v>
      </c>
    </row>
    <row r="2" spans="1:21">
      <c r="A2" s="1" t="s">
        <v>5</v>
      </c>
      <c r="B2" s="1" t="s">
        <v>6</v>
      </c>
      <c r="C2" s="1">
        <v>35000</v>
      </c>
      <c r="D2" s="1">
        <v>2</v>
      </c>
      <c r="E2" s="1">
        <v>85</v>
      </c>
      <c r="F2" s="18" t="str">
        <f>IF(C2&gt;50000,"Bonus Eligible","Not Eligible")</f>
        <v>Not Eligible</v>
      </c>
      <c r="G2" s="18" t="str">
        <f>IF(E2&gt;=80,"Good Performer","Average Performer")</f>
        <v>Good Performer</v>
      </c>
      <c r="H2" s="18" t="str" cm="1">
        <f t="array" ref="H2">_xlfn.IFS(E2&gt;=90,"High Increment",E2&gt;=75,"Moderate Increment",E2&lt;75,"No Increment")</f>
        <v>Moderate Increment</v>
      </c>
      <c r="I2" s="18" t="str" cm="1">
        <f t="array" ref="I2">_xlfn.IFS(D2&gt;=5,"Loyal Employee",D2&gt;=2,"Stable Employee",D2&lt;2,"New Employee")</f>
        <v>Stable Employee</v>
      </c>
      <c r="J2" s="18" t="str">
        <f>IF(AND(E2&gt;=85,D2&gt;=3),"Promotion Recommended","No Promotion")</f>
        <v>No Promotion</v>
      </c>
      <c r="K2" s="18" t="str">
        <f>IF(OR(E2&lt;70,D2&lt;2),"Training Needed","No Training")</f>
        <v>No Training</v>
      </c>
      <c r="L2" s="18" t="str">
        <f>IF(NOT(E2&gt;=75),"No Bonus","Eligible for Bonus")</f>
        <v>Eligible for Bonus</v>
      </c>
      <c r="M2" s="18" t="str" cm="1">
        <f t="array" ref="M2">_xlfn.IFS(E2&gt;=90,"Outstanding",E2&gt;=80,"Excellent",E2&gt;=70,"Good",E2&lt;70,"Needs Improvement")</f>
        <v>Excellent</v>
      </c>
      <c r="N2" s="18" t="str" cm="1">
        <f t="array" ref="N2">_xlfn.IFS(C2&gt;60000,"High Salary",C2&gt;=40000,"Medium Salary",C2&lt;40000,"Low Salary")</f>
        <v>Low Salary</v>
      </c>
      <c r="O2" s="18" t="str">
        <f>IF(OR(AND(B2="IT",E2&gt;=85),AND(B2="Sales",D2&gt;=5)),"Eligible for Project","Not Eligible")</f>
        <v>Not Eligible</v>
      </c>
    </row>
    <row r="3" spans="1:21">
      <c r="A3" s="1" t="s">
        <v>7</v>
      </c>
      <c r="B3" s="1" t="s">
        <v>8</v>
      </c>
      <c r="C3" s="1">
        <v>55000</v>
      </c>
      <c r="D3" s="1">
        <v>5</v>
      </c>
      <c r="E3" s="1">
        <v>92</v>
      </c>
      <c r="F3" s="18" t="str">
        <f t="shared" ref="F3:F6" si="0">IF(C3&gt;50000,"Bonus Eligible","Not Eligible")</f>
        <v>Bonus Eligible</v>
      </c>
      <c r="G3" s="18" t="str">
        <f t="shared" ref="G3:G6" si="1">IF(E3&gt;=80,"Good Performer","Average Performer")</f>
        <v>Good Performer</v>
      </c>
      <c r="H3" s="18" t="str" cm="1">
        <f t="array" ref="H3">_xlfn.IFS(E3&gt;=90,"High Increment",E3&gt;=75,"Moderate Increment",E3&lt;75,"No Increment")</f>
        <v>High Increment</v>
      </c>
      <c r="I3" s="18" t="str" cm="1">
        <f t="array" ref="I3">_xlfn.IFS(D3&gt;=5,"Loyal Employee",D3&gt;=2,"Stable Employee",D3&lt;2,"New Employee")</f>
        <v>Loyal Employee</v>
      </c>
      <c r="J3" s="18" t="str">
        <f t="shared" ref="J3:J6" si="2">IF(AND(E3&gt;=85,D3&gt;=3),"Promotion Recommended","No Promotion")</f>
        <v>Promotion Recommended</v>
      </c>
      <c r="K3" s="18" t="str">
        <f t="shared" ref="K3:K6" si="3">IF(OR(E3&lt;70,D3&lt;2),"Training Needed","No Training")</f>
        <v>No Training</v>
      </c>
      <c r="L3" s="18" t="str">
        <f t="shared" ref="L3:L6" si="4">IF(NOT(E3&gt;=75),"No Bonus","Eligible for Bonus")</f>
        <v>Eligible for Bonus</v>
      </c>
      <c r="M3" s="18" t="str" cm="1">
        <f t="array" ref="M3">_xlfn.IFS(E3&gt;=90,"Outstanding",E3&gt;=80,"Excellent",E3&gt;=70,"Good",E3&lt;70,"Needs Improvement")</f>
        <v>Outstanding</v>
      </c>
      <c r="N3" s="18" t="str" cm="1">
        <f t="array" ref="N3">_xlfn.IFS(C3&gt;60000,"High Salary",C3&gt;=40000,"Medium Salary",C3&lt;40000,"Low Salary")</f>
        <v>Medium Salary</v>
      </c>
      <c r="O3" s="18" t="str">
        <f t="shared" ref="O3:O6" si="5">IF(OR(AND(B3="IT",E3&gt;=85),AND(B3="Sales",D3&gt;=5)),"Eligible for Project","Not Eligible")</f>
        <v>Eligible for Project</v>
      </c>
    </row>
    <row r="4" spans="1:21">
      <c r="A4" s="1" t="s">
        <v>9</v>
      </c>
      <c r="B4" s="1" t="s">
        <v>10</v>
      </c>
      <c r="C4" s="1">
        <v>40000</v>
      </c>
      <c r="D4" s="1">
        <v>3</v>
      </c>
      <c r="E4" s="1">
        <v>75</v>
      </c>
      <c r="F4" s="18" t="str">
        <f t="shared" si="0"/>
        <v>Not Eligible</v>
      </c>
      <c r="G4" s="18" t="str">
        <f t="shared" si="1"/>
        <v>Average Performer</v>
      </c>
      <c r="H4" s="18" t="str" cm="1">
        <f t="array" ref="H4">_xlfn.IFS(E4&gt;=90,"High Increment",E4&gt;=75,"Moderate Increment",E4&lt;75,"No Increment")</f>
        <v>Moderate Increment</v>
      </c>
      <c r="I4" s="18" t="str" cm="1">
        <f t="array" ref="I4">_xlfn.IFS(D4&gt;=5,"Loyal Employee",D4&gt;=2,"Stable Employee",D4&lt;2,"New Employee")</f>
        <v>Stable Employee</v>
      </c>
      <c r="J4" s="18" t="str">
        <f t="shared" si="2"/>
        <v>No Promotion</v>
      </c>
      <c r="K4" s="18" t="str">
        <f t="shared" si="3"/>
        <v>No Training</v>
      </c>
      <c r="L4" s="18" t="str">
        <f t="shared" si="4"/>
        <v>Eligible for Bonus</v>
      </c>
      <c r="M4" s="18" t="str" cm="1">
        <f t="array" ref="M4">_xlfn.IFS(E4&gt;=90,"Outstanding",E4&gt;=80,"Excellent",E4&gt;=70,"Good",E4&lt;70,"Needs Improvement")</f>
        <v>Good</v>
      </c>
      <c r="N4" s="18" t="str" cm="1">
        <f t="array" ref="N4">_xlfn.IFS(C4&gt;60000,"High Salary",C4&gt;=40000,"Medium Salary",C4&lt;40000,"Low Salary")</f>
        <v>Medium Salary</v>
      </c>
      <c r="O4" s="18" t="str">
        <f t="shared" si="5"/>
        <v>Not Eligible</v>
      </c>
    </row>
    <row r="5" spans="1:21">
      <c r="A5" s="1" t="s">
        <v>11</v>
      </c>
      <c r="B5" s="1" t="s">
        <v>6</v>
      </c>
      <c r="C5" s="1">
        <v>30000</v>
      </c>
      <c r="D5" s="1">
        <v>1</v>
      </c>
      <c r="E5" s="1">
        <v>60</v>
      </c>
      <c r="F5" s="18" t="str">
        <f t="shared" si="0"/>
        <v>Not Eligible</v>
      </c>
      <c r="G5" s="18" t="str">
        <f t="shared" si="1"/>
        <v>Average Performer</v>
      </c>
      <c r="H5" s="18" t="str" cm="1">
        <f t="array" ref="H5">_xlfn.IFS(E5&gt;=90,"High Increment",E5&gt;=75,"Moderate Increment",E5&lt;75,"No Increment")</f>
        <v>No Increment</v>
      </c>
      <c r="I5" s="18" t="str" cm="1">
        <f t="array" ref="I5">_xlfn.IFS(D5&gt;=5,"Loyal Employee",D5&gt;=2,"Stable Employee",D5&lt;2,"New Employee")</f>
        <v>New Employee</v>
      </c>
      <c r="J5" s="18" t="str">
        <f t="shared" si="2"/>
        <v>No Promotion</v>
      </c>
      <c r="K5" s="18" t="str">
        <f t="shared" si="3"/>
        <v>Training Needed</v>
      </c>
      <c r="L5" s="18" t="str">
        <f t="shared" si="4"/>
        <v>No Bonus</v>
      </c>
      <c r="M5" s="18" t="str" cm="1">
        <f t="array" ref="M5">_xlfn.IFS(E5&gt;=90,"Outstanding",E5&gt;=80,"Excellent",E5&gt;=70,"Good",E5&lt;70,"Needs Improvement")</f>
        <v>Needs Improvement</v>
      </c>
      <c r="N5" s="18" t="str" cm="1">
        <f t="array" ref="N5">_xlfn.IFS(C5&gt;60000,"High Salary",C5&gt;=40000,"Medium Salary",C5&lt;40000,"Low Salary")</f>
        <v>Low Salary</v>
      </c>
      <c r="O5" s="18" t="str">
        <f t="shared" si="5"/>
        <v>Not Eligible</v>
      </c>
    </row>
    <row r="6" spans="1:21">
      <c r="A6" s="1" t="s">
        <v>12</v>
      </c>
      <c r="B6" s="1" t="s">
        <v>8</v>
      </c>
      <c r="C6" s="1">
        <v>65000</v>
      </c>
      <c r="D6" s="1">
        <v>7</v>
      </c>
      <c r="E6" s="1">
        <v>88</v>
      </c>
      <c r="F6" s="18" t="str">
        <f t="shared" si="0"/>
        <v>Bonus Eligible</v>
      </c>
      <c r="G6" s="18" t="str">
        <f t="shared" si="1"/>
        <v>Good Performer</v>
      </c>
      <c r="H6" s="18" t="str" cm="1">
        <f t="array" ref="H6">_xlfn.IFS(E6&gt;=90,"High Increment",E6&gt;=75,"Moderate Increment",E6&lt;75,"No Increment")</f>
        <v>Moderate Increment</v>
      </c>
      <c r="I6" s="18" t="str" cm="1">
        <f t="array" ref="I6">_xlfn.IFS(D6&gt;=5,"Loyal Employee",D6&gt;=2,"Stable Employee",D6&lt;2,"New Employee")</f>
        <v>Loyal Employee</v>
      </c>
      <c r="J6" s="18" t="str">
        <f t="shared" si="2"/>
        <v>Promotion Recommended</v>
      </c>
      <c r="K6" s="18" t="str">
        <f t="shared" si="3"/>
        <v>No Training</v>
      </c>
      <c r="L6" s="18" t="str">
        <f t="shared" si="4"/>
        <v>Eligible for Bonus</v>
      </c>
      <c r="M6" s="18" t="str" cm="1">
        <f t="array" ref="M6">_xlfn.IFS(E6&gt;=90,"Outstanding",E6&gt;=80,"Excellent",E6&gt;=70,"Good",E6&lt;70,"Needs Improvement")</f>
        <v>Excellent</v>
      </c>
      <c r="N6" s="18" t="str" cm="1">
        <f t="array" ref="N6">_xlfn.IFS(C6&gt;60000,"High Salary",C6&gt;=40000,"Medium Salary",C6&lt;40000,"Low Salary")</f>
        <v>High Salary</v>
      </c>
      <c r="O6" s="18" t="str">
        <f t="shared" si="5"/>
        <v>Eligible for Project</v>
      </c>
    </row>
    <row r="8" spans="1:21">
      <c r="B8" s="1"/>
    </row>
    <row r="9" spans="1:21">
      <c r="A9" s="2"/>
      <c r="B9" s="2"/>
    </row>
    <row r="10" spans="1:21">
      <c r="B10" s="3"/>
    </row>
    <row r="11" spans="1:21">
      <c r="U1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>
      <selection activeCell="L6" sqref="L6"/>
    </sheetView>
  </sheetViews>
  <sheetFormatPr defaultColWidth="10" defaultRowHeight="14.4"/>
  <sheetData>
    <row r="1" spans="1:19" ht="90" customHeight="1">
      <c r="A1" s="21" t="s">
        <v>14</v>
      </c>
      <c r="B1" s="21"/>
      <c r="C1" s="21"/>
      <c r="D1" s="21"/>
      <c r="E1" s="21"/>
      <c r="F1" s="21"/>
      <c r="G1" s="21"/>
      <c r="J1" s="22" t="s">
        <v>15</v>
      </c>
      <c r="K1" s="22"/>
      <c r="L1" s="22"/>
      <c r="M1" s="22"/>
      <c r="N1" s="22"/>
      <c r="O1" s="22"/>
      <c r="P1" s="22"/>
      <c r="Q1" s="22"/>
      <c r="R1" s="22"/>
      <c r="S1" s="22"/>
    </row>
    <row r="4" spans="1:19" s="4" customFormat="1">
      <c r="A4" s="5"/>
      <c r="B4" s="5">
        <v>5</v>
      </c>
      <c r="C4" s="5">
        <v>6</v>
      </c>
      <c r="D4" s="5">
        <v>7</v>
      </c>
      <c r="E4" s="5">
        <v>8</v>
      </c>
      <c r="F4" s="5">
        <v>9</v>
      </c>
      <c r="G4" s="5">
        <v>10</v>
      </c>
      <c r="J4" s="6" t="s">
        <v>13</v>
      </c>
      <c r="K4" s="6">
        <v>10</v>
      </c>
    </row>
    <row r="5" spans="1:19">
      <c r="A5" s="5">
        <v>1</v>
      </c>
      <c r="B5" s="7">
        <f>B$4*$A5</f>
        <v>5</v>
      </c>
      <c r="C5" s="7">
        <f t="shared" ref="C5:G14" si="0">C$4*$A5</f>
        <v>6</v>
      </c>
      <c r="D5" s="7">
        <f t="shared" si="0"/>
        <v>7</v>
      </c>
      <c r="E5" s="7">
        <f t="shared" si="0"/>
        <v>8</v>
      </c>
      <c r="F5" s="7">
        <f t="shared" si="0"/>
        <v>9</v>
      </c>
      <c r="G5" s="7">
        <f t="shared" si="0"/>
        <v>10</v>
      </c>
      <c r="J5" s="6">
        <v>1</v>
      </c>
      <c r="K5" s="8">
        <f>$K$4+J5</f>
        <v>11</v>
      </c>
    </row>
    <row r="6" spans="1:19">
      <c r="A6" s="5">
        <v>2</v>
      </c>
      <c r="B6" s="7">
        <f t="shared" ref="B6:B14" si="1">B$4*$A6</f>
        <v>10</v>
      </c>
      <c r="C6" s="7">
        <f t="shared" si="0"/>
        <v>12</v>
      </c>
      <c r="D6" s="7">
        <f t="shared" si="0"/>
        <v>14</v>
      </c>
      <c r="E6" s="7">
        <f t="shared" si="0"/>
        <v>16</v>
      </c>
      <c r="F6" s="7">
        <f t="shared" si="0"/>
        <v>18</v>
      </c>
      <c r="G6" s="7">
        <f t="shared" si="0"/>
        <v>20</v>
      </c>
      <c r="J6" s="6">
        <v>2</v>
      </c>
      <c r="K6" s="8">
        <f t="shared" ref="K6:K14" si="2">$K$4+J6</f>
        <v>12</v>
      </c>
    </row>
    <row r="7" spans="1:19">
      <c r="A7" s="5">
        <v>3</v>
      </c>
      <c r="B7" s="7">
        <f t="shared" si="1"/>
        <v>15</v>
      </c>
      <c r="C7" s="7">
        <f t="shared" si="0"/>
        <v>18</v>
      </c>
      <c r="D7" s="7">
        <f t="shared" si="0"/>
        <v>21</v>
      </c>
      <c r="E7" s="7">
        <f t="shared" si="0"/>
        <v>24</v>
      </c>
      <c r="F7" s="7">
        <f t="shared" si="0"/>
        <v>27</v>
      </c>
      <c r="G7" s="7">
        <f t="shared" si="0"/>
        <v>30</v>
      </c>
      <c r="J7" s="6">
        <v>3</v>
      </c>
      <c r="K7" s="8">
        <f t="shared" si="2"/>
        <v>13</v>
      </c>
    </row>
    <row r="8" spans="1:19">
      <c r="A8" s="5">
        <v>4</v>
      </c>
      <c r="B8" s="7">
        <f t="shared" si="1"/>
        <v>20</v>
      </c>
      <c r="C8" s="7">
        <f t="shared" si="0"/>
        <v>24</v>
      </c>
      <c r="D8" s="7">
        <f t="shared" si="0"/>
        <v>28</v>
      </c>
      <c r="E8" s="7">
        <f t="shared" si="0"/>
        <v>32</v>
      </c>
      <c r="F8" s="7">
        <f t="shared" si="0"/>
        <v>36</v>
      </c>
      <c r="G8" s="7">
        <f t="shared" si="0"/>
        <v>40</v>
      </c>
      <c r="J8" s="6">
        <v>4</v>
      </c>
      <c r="K8" s="8">
        <f t="shared" si="2"/>
        <v>14</v>
      </c>
    </row>
    <row r="9" spans="1:19">
      <c r="A9" s="5">
        <v>5</v>
      </c>
      <c r="B9" s="7">
        <f t="shared" si="1"/>
        <v>25</v>
      </c>
      <c r="C9" s="7">
        <f t="shared" si="0"/>
        <v>30</v>
      </c>
      <c r="D9" s="7">
        <f t="shared" si="0"/>
        <v>35</v>
      </c>
      <c r="E9" s="7">
        <f t="shared" si="0"/>
        <v>40</v>
      </c>
      <c r="F9" s="7">
        <f t="shared" si="0"/>
        <v>45</v>
      </c>
      <c r="G9" s="7">
        <f t="shared" si="0"/>
        <v>50</v>
      </c>
      <c r="J9" s="6">
        <v>5</v>
      </c>
      <c r="K9" s="8">
        <f t="shared" si="2"/>
        <v>15</v>
      </c>
    </row>
    <row r="10" spans="1:19">
      <c r="A10" s="5">
        <v>6</v>
      </c>
      <c r="B10" s="7">
        <f t="shared" si="1"/>
        <v>30</v>
      </c>
      <c r="C10" s="7">
        <f t="shared" si="0"/>
        <v>36</v>
      </c>
      <c r="D10" s="7">
        <f t="shared" si="0"/>
        <v>42</v>
      </c>
      <c r="E10" s="7">
        <f t="shared" si="0"/>
        <v>48</v>
      </c>
      <c r="F10" s="7">
        <f t="shared" si="0"/>
        <v>54</v>
      </c>
      <c r="G10" s="7">
        <f t="shared" si="0"/>
        <v>60</v>
      </c>
      <c r="J10" s="6">
        <v>6</v>
      </c>
      <c r="K10" s="8">
        <f t="shared" si="2"/>
        <v>16</v>
      </c>
    </row>
    <row r="11" spans="1:19">
      <c r="A11" s="5">
        <v>7</v>
      </c>
      <c r="B11" s="7">
        <f t="shared" si="1"/>
        <v>35</v>
      </c>
      <c r="C11" s="7">
        <f t="shared" si="0"/>
        <v>42</v>
      </c>
      <c r="D11" s="7">
        <f t="shared" si="0"/>
        <v>49</v>
      </c>
      <c r="E11" s="7">
        <f t="shared" si="0"/>
        <v>56</v>
      </c>
      <c r="F11" s="7">
        <f t="shared" si="0"/>
        <v>63</v>
      </c>
      <c r="G11" s="7">
        <f t="shared" si="0"/>
        <v>70</v>
      </c>
      <c r="J11" s="6">
        <v>7</v>
      </c>
      <c r="K11" s="8">
        <f t="shared" si="2"/>
        <v>17</v>
      </c>
    </row>
    <row r="12" spans="1:19">
      <c r="A12" s="5">
        <v>8</v>
      </c>
      <c r="B12" s="7">
        <f t="shared" si="1"/>
        <v>40</v>
      </c>
      <c r="C12" s="7">
        <f t="shared" si="0"/>
        <v>48</v>
      </c>
      <c r="D12" s="7">
        <f t="shared" si="0"/>
        <v>56</v>
      </c>
      <c r="E12" s="7">
        <f t="shared" si="0"/>
        <v>64</v>
      </c>
      <c r="F12" s="7">
        <f t="shared" si="0"/>
        <v>72</v>
      </c>
      <c r="G12" s="7">
        <f t="shared" si="0"/>
        <v>80</v>
      </c>
      <c r="J12" s="6">
        <v>8</v>
      </c>
      <c r="K12" s="8">
        <f t="shared" si="2"/>
        <v>18</v>
      </c>
    </row>
    <row r="13" spans="1:19">
      <c r="A13" s="5">
        <v>9</v>
      </c>
      <c r="B13" s="7">
        <f t="shared" si="1"/>
        <v>45</v>
      </c>
      <c r="C13" s="7">
        <f t="shared" si="0"/>
        <v>54</v>
      </c>
      <c r="D13" s="7">
        <f t="shared" si="0"/>
        <v>63</v>
      </c>
      <c r="E13" s="7">
        <f t="shared" si="0"/>
        <v>72</v>
      </c>
      <c r="F13" s="7">
        <f t="shared" si="0"/>
        <v>81</v>
      </c>
      <c r="G13" s="7">
        <f t="shared" si="0"/>
        <v>90</v>
      </c>
      <c r="J13" s="6">
        <v>9</v>
      </c>
      <c r="K13" s="8">
        <f t="shared" si="2"/>
        <v>19</v>
      </c>
    </row>
    <row r="14" spans="1:19">
      <c r="A14" s="5">
        <v>10</v>
      </c>
      <c r="B14" s="7">
        <f t="shared" si="1"/>
        <v>50</v>
      </c>
      <c r="C14" s="7">
        <f t="shared" si="0"/>
        <v>60</v>
      </c>
      <c r="D14" s="7">
        <f t="shared" si="0"/>
        <v>70</v>
      </c>
      <c r="E14" s="7">
        <f t="shared" si="0"/>
        <v>80</v>
      </c>
      <c r="F14" s="7">
        <f t="shared" si="0"/>
        <v>90</v>
      </c>
      <c r="G14" s="7">
        <f t="shared" si="0"/>
        <v>100</v>
      </c>
      <c r="J14" s="6">
        <v>10</v>
      </c>
      <c r="K14" s="8">
        <f t="shared" si="2"/>
        <v>20</v>
      </c>
    </row>
  </sheetData>
  <mergeCells count="2">
    <mergeCell ref="A1:G1"/>
    <mergeCell ref="J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abSelected="1" workbookViewId="0">
      <selection activeCell="A15" sqref="A15:XFD15"/>
    </sheetView>
  </sheetViews>
  <sheetFormatPr defaultColWidth="10" defaultRowHeight="14.4"/>
  <sheetData>
    <row r="1" spans="1:12"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10" t="s">
        <v>21</v>
      </c>
      <c r="H1" s="9" t="s">
        <v>22</v>
      </c>
      <c r="I1" s="10" t="s">
        <v>23</v>
      </c>
      <c r="J1" s="9" t="s">
        <v>24</v>
      </c>
      <c r="K1" s="10" t="s">
        <v>25</v>
      </c>
      <c r="L1" s="9" t="s">
        <v>26</v>
      </c>
    </row>
    <row r="2" spans="1:12">
      <c r="B2" s="9" t="s">
        <v>27</v>
      </c>
      <c r="C2" s="11">
        <v>28</v>
      </c>
      <c r="D2" s="11">
        <v>67</v>
      </c>
      <c r="E2" s="11">
        <v>36</v>
      </c>
      <c r="F2" s="12">
        <f>COUNTA(C2,D2,E2)</f>
        <v>3</v>
      </c>
      <c r="G2" s="13">
        <f>COUNTA(B2,B3,B4,B5,B6)</f>
        <v>5</v>
      </c>
      <c r="H2" s="14">
        <f>AVERAGE(C2,D2,E2)</f>
        <v>43.666666666666664</v>
      </c>
      <c r="I2" s="15">
        <f>MAX(C2,D2,E2)</f>
        <v>67</v>
      </c>
      <c r="J2" s="12">
        <f>MIN(C2:E2)</f>
        <v>28</v>
      </c>
      <c r="K2" s="12">
        <f>LARGE(C2:E2,2)</f>
        <v>36</v>
      </c>
      <c r="L2" s="12">
        <f>SMALL(C2:E2,1)</f>
        <v>28</v>
      </c>
    </row>
    <row r="3" spans="1:12">
      <c r="B3" s="9" t="s">
        <v>28</v>
      </c>
      <c r="C3" s="11">
        <v>85</v>
      </c>
      <c r="D3" s="11">
        <v>81</v>
      </c>
      <c r="E3" s="11">
        <v>87</v>
      </c>
      <c r="F3" s="12">
        <f t="shared" ref="F3:F6" si="0">COUNTA(C3,D3,E3)</f>
        <v>3</v>
      </c>
      <c r="G3" s="13">
        <f t="shared" ref="G3:G6" si="1">COUNTA(B3,B4,B5,B6,B7)</f>
        <v>4</v>
      </c>
      <c r="H3" s="14">
        <f t="shared" ref="H3:H6" si="2">AVERAGE(C3,D3,E3)</f>
        <v>84.333333333333329</v>
      </c>
      <c r="I3" s="15">
        <f t="shared" ref="I3:I6" si="3">MAX(C3,D3,E3)</f>
        <v>87</v>
      </c>
      <c r="J3" s="12">
        <f t="shared" ref="J3:J6" si="4">MIN(C3:E3)</f>
        <v>81</v>
      </c>
      <c r="K3" s="12">
        <f t="shared" ref="K3:K6" si="5">LARGE(C3:E3,2)</f>
        <v>85</v>
      </c>
      <c r="L3" s="12">
        <f t="shared" ref="L3:L6" si="6">SMALL(C3:E3,1)</f>
        <v>81</v>
      </c>
    </row>
    <row r="4" spans="1:12">
      <c r="B4" s="9" t="s">
        <v>29</v>
      </c>
      <c r="C4" s="11">
        <v>20</v>
      </c>
      <c r="D4" s="11">
        <v>28</v>
      </c>
      <c r="E4" s="11">
        <v>29</v>
      </c>
      <c r="F4" s="12">
        <f t="shared" si="0"/>
        <v>3</v>
      </c>
      <c r="G4" s="13">
        <f t="shared" si="1"/>
        <v>3</v>
      </c>
      <c r="H4" s="14">
        <f t="shared" si="2"/>
        <v>25.666666666666668</v>
      </c>
      <c r="I4" s="15">
        <f t="shared" si="3"/>
        <v>29</v>
      </c>
      <c r="J4" s="12">
        <f t="shared" si="4"/>
        <v>20</v>
      </c>
      <c r="K4" s="12">
        <f t="shared" si="5"/>
        <v>28</v>
      </c>
      <c r="L4" s="12">
        <f t="shared" si="6"/>
        <v>20</v>
      </c>
    </row>
    <row r="5" spans="1:12">
      <c r="B5" s="9" t="s">
        <v>30</v>
      </c>
      <c r="C5" s="11">
        <v>24</v>
      </c>
      <c r="D5" s="11">
        <v>25</v>
      </c>
      <c r="E5" s="11">
        <v>15</v>
      </c>
      <c r="F5" s="12">
        <f t="shared" si="0"/>
        <v>3</v>
      </c>
      <c r="G5" s="13">
        <f t="shared" si="1"/>
        <v>2</v>
      </c>
      <c r="H5" s="14">
        <f t="shared" si="2"/>
        <v>21.333333333333332</v>
      </c>
      <c r="I5" s="15">
        <f t="shared" si="3"/>
        <v>25</v>
      </c>
      <c r="J5" s="12">
        <f t="shared" si="4"/>
        <v>15</v>
      </c>
      <c r="K5" s="12">
        <f t="shared" si="5"/>
        <v>24</v>
      </c>
      <c r="L5" s="12">
        <f t="shared" si="6"/>
        <v>15</v>
      </c>
    </row>
    <row r="6" spans="1:12">
      <c r="B6" s="9" t="s">
        <v>31</v>
      </c>
      <c r="C6" s="11">
        <v>77</v>
      </c>
      <c r="D6" s="11">
        <v>66</v>
      </c>
      <c r="E6" s="11">
        <v>59</v>
      </c>
      <c r="F6" s="12">
        <f t="shared" si="0"/>
        <v>3</v>
      </c>
      <c r="G6" s="13">
        <f t="shared" si="1"/>
        <v>1</v>
      </c>
      <c r="H6" s="14">
        <f t="shared" si="2"/>
        <v>67.333333333333329</v>
      </c>
      <c r="I6" s="15">
        <f t="shared" si="3"/>
        <v>77</v>
      </c>
      <c r="J6" s="12">
        <f t="shared" si="4"/>
        <v>59</v>
      </c>
      <c r="K6" s="12">
        <f t="shared" si="5"/>
        <v>66</v>
      </c>
      <c r="L6" s="12">
        <f t="shared" si="6"/>
        <v>59</v>
      </c>
    </row>
    <row r="8" spans="1:12">
      <c r="A8" s="16" t="s">
        <v>32</v>
      </c>
    </row>
    <row r="9" spans="1:12" s="23" customFormat="1" ht="14.4" customHeight="1">
      <c r="A9" s="23" t="s">
        <v>38</v>
      </c>
    </row>
    <row r="10" spans="1:12" s="23" customFormat="1" ht="14.4" customHeight="1">
      <c r="A10" s="23" t="s">
        <v>37</v>
      </c>
    </row>
    <row r="11" spans="1:12" s="23" customFormat="1" ht="14.4" customHeight="1">
      <c r="A11" s="23" t="s">
        <v>33</v>
      </c>
    </row>
    <row r="12" spans="1:12" s="23" customFormat="1" ht="14.4" customHeight="1">
      <c r="A12" s="23" t="s">
        <v>34</v>
      </c>
    </row>
    <row r="13" spans="1:12" s="23" customFormat="1" ht="14.4" customHeight="1">
      <c r="A13" s="23" t="s">
        <v>35</v>
      </c>
    </row>
    <row r="14" spans="1:12" s="23" customFormat="1" ht="14.4" customHeight="1">
      <c r="A14" s="23" t="s">
        <v>36</v>
      </c>
    </row>
    <row r="15" spans="1:12" s="23" customFormat="1" ht="14.4" customHeight="1">
      <c r="A15" s="23" t="s">
        <v>39</v>
      </c>
    </row>
  </sheetData>
  <mergeCells count="7">
    <mergeCell ref="A14:XFD14"/>
    <mergeCell ref="A15:XFD15"/>
    <mergeCell ref="A9:XFD9"/>
    <mergeCell ref="A10:XFD10"/>
    <mergeCell ref="A11:XFD11"/>
    <mergeCell ref="A12:XFD12"/>
    <mergeCell ref="A13:XF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If,Nested If, Ifs</vt:lpstr>
      <vt:lpstr>Referencing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rajoria</dc:creator>
  <cp:lastModifiedBy>Sanjana .</cp:lastModifiedBy>
  <dcterms:created xsi:type="dcterms:W3CDTF">2025-07-18T10:40:55Z</dcterms:created>
  <dcterms:modified xsi:type="dcterms:W3CDTF">2025-07-31T13:48:19Z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b2ba4ad058b64251883294d47f65bd96</vt:lpwstr>
  </property>
</Properties>
</file>