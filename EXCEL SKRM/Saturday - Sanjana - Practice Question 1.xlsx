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sanju\Downloads\"/>
    </mc:Choice>
  </mc:AlternateContent>
  <xr:revisionPtr revIDLastSave="0" documentId="13_ncr:1_{C13F18DC-959B-40A1-BFD2-33FD69ED79B9}" xr6:coauthVersionLast="47" xr6:coauthVersionMax="47" xr10:uidLastSave="{00000000-0000-0000-0000-000000000000}"/>
  <bookViews>
    <workbookView xWindow="-108" yWindow="-108" windowWidth="23256" windowHeight="12456" activeTab="2" xr2:uid="{00000000-000D-0000-FFFF-FFFF00000000}"/>
  </bookViews>
  <sheets>
    <sheet name="HR Data" sheetId="1" r:id="rId1"/>
    <sheet name="Q1"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1" l="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 i="1"/>
  <c r="AD201" i="1"/>
  <c r="AD200" i="1"/>
  <c r="AD199" i="1"/>
  <c r="AD198" i="1"/>
  <c r="AD197" i="1"/>
  <c r="AD196" i="1"/>
  <c r="AD195" i="1"/>
  <c r="AD194" i="1"/>
  <c r="AD193" i="1"/>
  <c r="AD192" i="1"/>
  <c r="AD191" i="1"/>
  <c r="AD190"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 i="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 i="3"/>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 i="1"/>
</calcChain>
</file>

<file path=xl/sharedStrings.xml><?xml version="1.0" encoding="utf-8"?>
<sst xmlns="http://schemas.openxmlformats.org/spreadsheetml/2006/main" count="3241" uniqueCount="294">
  <si>
    <t>Employee ID</t>
  </si>
  <si>
    <t>Days Worked</t>
  </si>
  <si>
    <t>Leaves Taken</t>
  </si>
  <si>
    <t>Performance Rating</t>
  </si>
  <si>
    <t>Experience (Years)</t>
  </si>
  <si>
    <t>Income</t>
  </si>
  <si>
    <t>Past Defaults</t>
  </si>
  <si>
    <t>Credit Score</t>
  </si>
  <si>
    <t>Payment Status</t>
  </si>
  <si>
    <t>Due Date</t>
  </si>
  <si>
    <t>Delay History</t>
  </si>
  <si>
    <t>Urgent Order</t>
  </si>
  <si>
    <t>Client Type</t>
  </si>
  <si>
    <t>Delivery Deadline</t>
  </si>
  <si>
    <t>Marital Status</t>
  </si>
  <si>
    <t>Lives Nearby</t>
  </si>
  <si>
    <t>Health Issues</t>
  </si>
  <si>
    <t>Expense Amount</t>
  </si>
  <si>
    <t>Manager Approval</t>
  </si>
  <si>
    <t>Expense Type</t>
  </si>
  <si>
    <t>Defect Rate</t>
  </si>
  <si>
    <t>Downtime (hrs)</t>
  </si>
  <si>
    <t>Output Units</t>
  </si>
  <si>
    <t>E0001</t>
  </si>
  <si>
    <t>E0002</t>
  </si>
  <si>
    <t>E0003</t>
  </si>
  <si>
    <t>E0004</t>
  </si>
  <si>
    <t>E0005</t>
  </si>
  <si>
    <t>E0006</t>
  </si>
  <si>
    <t>E0007</t>
  </si>
  <si>
    <t>E0008</t>
  </si>
  <si>
    <t>E0009</t>
  </si>
  <si>
    <t>E0010</t>
  </si>
  <si>
    <t>E0011</t>
  </si>
  <si>
    <t>E0012</t>
  </si>
  <si>
    <t>E0013</t>
  </si>
  <si>
    <t>E0014</t>
  </si>
  <si>
    <t>E0015</t>
  </si>
  <si>
    <t>E0016</t>
  </si>
  <si>
    <t>E0017</t>
  </si>
  <si>
    <t>E0018</t>
  </si>
  <si>
    <t>E0019</t>
  </si>
  <si>
    <t>E0020</t>
  </si>
  <si>
    <t>E0021</t>
  </si>
  <si>
    <t>E0022</t>
  </si>
  <si>
    <t>E0023</t>
  </si>
  <si>
    <t>E0024</t>
  </si>
  <si>
    <t>E0025</t>
  </si>
  <si>
    <t>E0026</t>
  </si>
  <si>
    <t>E0027</t>
  </si>
  <si>
    <t>E0028</t>
  </si>
  <si>
    <t>E0029</t>
  </si>
  <si>
    <t>E0030</t>
  </si>
  <si>
    <t>E0031</t>
  </si>
  <si>
    <t>E0032</t>
  </si>
  <si>
    <t>E0033</t>
  </si>
  <si>
    <t>E0034</t>
  </si>
  <si>
    <t>E0035</t>
  </si>
  <si>
    <t>E0036</t>
  </si>
  <si>
    <t>E0037</t>
  </si>
  <si>
    <t>E0038</t>
  </si>
  <si>
    <t>E0039</t>
  </si>
  <si>
    <t>E0040</t>
  </si>
  <si>
    <t>E0041</t>
  </si>
  <si>
    <t>E0042</t>
  </si>
  <si>
    <t>E0043</t>
  </si>
  <si>
    <t>E0044</t>
  </si>
  <si>
    <t>E0045</t>
  </si>
  <si>
    <t>E0046</t>
  </si>
  <si>
    <t>E0047</t>
  </si>
  <si>
    <t>E0048</t>
  </si>
  <si>
    <t>E0049</t>
  </si>
  <si>
    <t>E0050</t>
  </si>
  <si>
    <t>E0051</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</si>
  <si>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</si>
  <si>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</si>
  <si>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</si>
  <si>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</si>
  <si>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</si>
  <si>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</si>
  <si>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</si>
  <si>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</si>
  <si>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</si>
  <si>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</si>
  <si>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</si>
  <si>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</si>
  <si>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</si>
  <si>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</si>
  <si>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</si>
  <si>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</si>
  <si>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</si>
  <si>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</si>
  <si>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</si>
  <si>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</si>
  <si>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</si>
  <si>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</si>
  <si>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</si>
  <si>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</si>
  <si>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</si>
  <si>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</si>
  <si>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</si>
  <si>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</si>
  <si>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</si>
  <si>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</si>
  <si>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</si>
  <si>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</si>
  <si>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</si>
  <si>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</si>
  <si>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</si>
  <si>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</si>
  <si>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</si>
  <si>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</si>
  <si>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</si>
  <si>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</si>
  <si>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</si>
  <si>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</si>
  <si>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</si>
  <si>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</si>
  <si>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</si>
  <si>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</si>
  <si>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</si>
  <si>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</si>
  <si>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</si>
  <si>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</si>
  <si>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</si>
  <si>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</si>
  <si>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</si>
  <si>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</si>
  <si>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</si>
  <si>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</si>
  <si>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</si>
  <si>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</si>
  <si>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</si>
  <si>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</si>
  <si>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</si>
  <si>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</si>
  <si>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</si>
  <si>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</si>
  <si>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</si>
  <si>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</si>
  <si>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</si>
  <si>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</si>
  <si>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</si>
  <si>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</si>
  <si>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</si>
  <si>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</si>
  <si>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</si>
  <si>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</si>
  <si>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</si>
  <si>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</si>
  <si>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</si>
  <si>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</si>
  <si>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</si>
  <si>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</si>
  <si>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</si>
  <si>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</si>
  <si>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</si>
  <si>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</si>
  <si>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</si>
  <si>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</si>
  <si>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</si>
  <si>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</si>
  <si>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</si>
  <si>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</si>
  <si>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</si>
  <si>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</si>
  <si>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</si>
  <si>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</si>
  <si>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</si>
  <si>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</si>
  <si>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</si>
  <si>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</si>
  <si>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</si>
  <si>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</si>
  <si>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</si>
  <si>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</si>
  <si>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</si>
  <si>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</si>
  <si>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</si>
  <si>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</si>
  <si>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</si>
  <si>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</si>
  <si>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</si>
  <si>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</si>
  <si>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</si>
  <si>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</si>
  <si>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</si>
  <si>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</si>
  <si>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</si>
  <si>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</si>
  <si>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</si>
  <si>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</si>
  <si>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</si>
  <si>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</si>
  <si>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</si>
  <si>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</si>
  <si>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</si>
  <si>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</si>
  <si>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</si>
  <si>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</si>
  <si>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</si>
  <si>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</si>
  <si>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</si>
  <si>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</si>
  <si>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</si>
  <si>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</si>
  <si>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</si>
  <si>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</si>
  <si>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</si>
  <si>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</si>
  <si>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</si>
  <si>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</si>
  <si>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</si>
  <si>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</si>
  <si>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</si>
  <si>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</si>
  <si>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</si>
  <si>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</si>
  <si>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</si>
  <si>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</si>
  <si>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</si>
  <si>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</si>
  <si>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</si>
  <si>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Yes</t>
  </si>
  <si>
    <t>No</t>
  </si>
  <si>
    <t>Paid</t>
  </si>
  <si>
    <t>Unpaid</t>
  </si>
  <si>
    <t>Regular</t>
  </si>
  <si>
    <t>VIP</t>
  </si>
  <si>
    <t>Single</t>
  </si>
  <si>
    <t>Married</t>
  </si>
  <si>
    <t>Other</t>
  </si>
  <si>
    <t>Pre-approved</t>
  </si>
  <si>
    <t>1. Payroll Eligibility Check</t>
  </si>
  <si>
    <r>
      <t>Question:</t>
    </r>
    <r>
      <rPr>
        <sz val="11"/>
        <color theme="1"/>
        <rFont val="Calibri"/>
        <family val="2"/>
        <scheme val="minor"/>
      </rPr>
      <t xml:space="preserve"> Identify employees who have worked more than </t>
    </r>
    <r>
      <rPr>
        <b/>
        <sz val="11"/>
        <color theme="1"/>
        <rFont val="Calibri"/>
        <family val="2"/>
        <scheme val="minor"/>
      </rPr>
      <t>20 days</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taken </t>
    </r>
    <r>
      <rPr>
        <b/>
        <sz val="11"/>
        <color theme="1"/>
        <rFont val="Calibri"/>
        <family val="2"/>
        <scheme val="minor"/>
      </rPr>
      <t>2 or fewer leaves</t>
    </r>
    <r>
      <rPr>
        <sz val="11"/>
        <color theme="1"/>
        <rFont val="Calibri"/>
        <family val="2"/>
        <scheme val="minor"/>
      </rPr>
      <t>.</t>
    </r>
  </si>
  <si>
    <t>2. Appraisal Eligibility</t>
  </si>
  <si>
    <r>
      <t>Question:</t>
    </r>
    <r>
      <rPr>
        <sz val="11"/>
        <color theme="1"/>
        <rFont val="Calibri"/>
        <family val="2"/>
        <scheme val="minor"/>
      </rPr>
      <t xml:space="preserve"> Who is eligible for appraisal if </t>
    </r>
    <r>
      <rPr>
        <b/>
        <sz val="11"/>
        <color theme="1"/>
        <rFont val="Calibri"/>
        <family val="2"/>
        <scheme val="minor"/>
      </rPr>
      <t>performance rating &gt; 4.0</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t>
    </r>
    <r>
      <rPr>
        <b/>
        <sz val="11"/>
        <color theme="1"/>
        <rFont val="Calibri"/>
        <family val="2"/>
        <scheme val="minor"/>
      </rPr>
      <t>experience &gt; 2 years</t>
    </r>
    <r>
      <rPr>
        <sz val="11"/>
        <color theme="1"/>
        <rFont val="Calibri"/>
        <family val="2"/>
        <scheme val="minor"/>
      </rPr>
      <t>?</t>
    </r>
  </si>
  <si>
    <r>
      <t>Question:</t>
    </r>
    <r>
      <rPr>
        <sz val="11"/>
        <color theme="1"/>
        <rFont val="Calibri"/>
        <family val="2"/>
        <scheme val="minor"/>
      </rPr>
      <t xml:space="preserve"> Approve employees for a loan if </t>
    </r>
    <r>
      <rPr>
        <b/>
        <sz val="11"/>
        <color theme="1"/>
        <rFont val="Calibri"/>
        <family val="2"/>
        <scheme val="minor"/>
      </rPr>
      <t>income &gt; ₹50,000</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(no past defaults </t>
    </r>
    <r>
      <rPr>
        <b/>
        <sz val="11"/>
        <color theme="1"/>
        <rFont val="Calibri"/>
        <family val="2"/>
        <scheme val="minor"/>
      </rPr>
      <t>OR</t>
    </r>
    <r>
      <rPr>
        <sz val="11"/>
        <color theme="1"/>
        <rFont val="Calibri"/>
        <family val="2"/>
        <scheme val="minor"/>
      </rPr>
      <t xml:space="preserve"> credit score &gt; 750).</t>
    </r>
  </si>
  <si>
    <t>3. Loan Approval Check</t>
  </si>
  <si>
    <r>
      <t>Question:</t>
    </r>
    <r>
      <rPr>
        <sz val="11"/>
        <color theme="1"/>
        <rFont val="Calibri"/>
        <family val="2"/>
        <scheme val="minor"/>
      </rPr>
      <t xml:space="preserve"> Assign night shift if employee is </t>
    </r>
    <r>
      <rPr>
        <b/>
        <sz val="11"/>
        <color theme="1"/>
        <rFont val="Calibri"/>
        <family val="2"/>
        <scheme val="minor"/>
      </rPr>
      <t>Single</t>
    </r>
    <r>
      <rPr>
        <sz val="11"/>
        <color theme="1"/>
        <rFont val="Calibri"/>
        <family val="2"/>
        <scheme val="minor"/>
      </rPr>
      <t xml:space="preserve"> </t>
    </r>
    <r>
      <rPr>
        <b/>
        <sz val="11"/>
        <color theme="1"/>
        <rFont val="Calibri"/>
        <family val="2"/>
        <scheme val="minor"/>
      </rPr>
      <t>OR</t>
    </r>
    <r>
      <rPr>
        <sz val="11"/>
        <color theme="1"/>
        <rFont val="Calibri"/>
        <family val="2"/>
        <scheme val="minor"/>
      </rPr>
      <t xml:space="preserve"> lives nearby </t>
    </r>
    <r>
      <rPr>
        <b/>
        <sz val="11"/>
        <color theme="1"/>
        <rFont val="Calibri"/>
        <family val="2"/>
        <scheme val="minor"/>
      </rPr>
      <t>AND</t>
    </r>
    <r>
      <rPr>
        <sz val="11"/>
        <color theme="1"/>
        <rFont val="Calibri"/>
        <family val="2"/>
        <scheme val="minor"/>
      </rPr>
      <t xml:space="preserve"> has </t>
    </r>
    <r>
      <rPr>
        <b/>
        <sz val="11"/>
        <color theme="1"/>
        <rFont val="Calibri"/>
        <family val="2"/>
        <scheme val="minor"/>
      </rPr>
      <t>no health issues</t>
    </r>
    <r>
      <rPr>
        <sz val="11"/>
        <color theme="1"/>
        <rFont val="Calibri"/>
        <family val="2"/>
        <scheme val="minor"/>
      </rPr>
      <t>.</t>
    </r>
  </si>
  <si>
    <t>4. Night Shift Assignment</t>
  </si>
  <si>
    <r>
      <t>Question:</t>
    </r>
    <r>
      <rPr>
        <sz val="11"/>
        <color theme="1"/>
        <rFont val="Calibri"/>
        <family val="2"/>
        <scheme val="minor"/>
      </rPr>
      <t xml:space="preserve"> Approve expense if amount is ≤ ₹10,000 </t>
    </r>
    <r>
      <rPr>
        <b/>
        <sz val="11"/>
        <color theme="1"/>
        <rFont val="Calibri"/>
        <family val="2"/>
        <scheme val="minor"/>
      </rPr>
      <t>AND</t>
    </r>
    <r>
      <rPr>
        <sz val="11"/>
        <color theme="1"/>
        <rFont val="Calibri"/>
        <family val="2"/>
        <scheme val="minor"/>
      </rPr>
      <t xml:space="preserve"> (manager approved it </t>
    </r>
    <r>
      <rPr>
        <b/>
        <sz val="11"/>
        <color theme="1"/>
        <rFont val="Calibri"/>
        <family val="2"/>
        <scheme val="minor"/>
      </rPr>
      <t>OR</t>
    </r>
    <r>
      <rPr>
        <sz val="11"/>
        <color theme="1"/>
        <rFont val="Calibri"/>
        <family val="2"/>
        <scheme val="minor"/>
      </rPr>
      <t xml:space="preserve"> it is pre-approved type).</t>
    </r>
  </si>
  <si>
    <t>5. Expense Approval</t>
  </si>
  <si>
    <r>
      <t>Question:</t>
    </r>
    <r>
      <rPr>
        <sz val="11"/>
        <color theme="1"/>
        <rFont val="Calibri"/>
        <family val="2"/>
        <scheme val="minor"/>
      </rPr>
      <t xml:space="preserve"> Trigger alert if </t>
    </r>
    <r>
      <rPr>
        <b/>
        <sz val="11"/>
        <color theme="1"/>
        <rFont val="Calibri"/>
        <family val="2"/>
        <scheme val="minor"/>
      </rPr>
      <t>Defect Rate &gt; 5%</t>
    </r>
    <r>
      <rPr>
        <sz val="11"/>
        <color theme="1"/>
        <rFont val="Calibri"/>
        <family val="2"/>
        <scheme val="minor"/>
      </rPr>
      <t xml:space="preserve"> </t>
    </r>
    <r>
      <rPr>
        <b/>
        <sz val="11"/>
        <color theme="1"/>
        <rFont val="Calibri"/>
        <family val="2"/>
        <scheme val="minor"/>
      </rPr>
      <t>OR</t>
    </r>
    <r>
      <rPr>
        <sz val="11"/>
        <color theme="1"/>
        <rFont val="Calibri"/>
        <family val="2"/>
        <scheme val="minor"/>
      </rPr>
      <t xml:space="preserve"> </t>
    </r>
    <r>
      <rPr>
        <b/>
        <sz val="11"/>
        <color theme="1"/>
        <rFont val="Calibri"/>
        <family val="2"/>
        <scheme val="minor"/>
      </rPr>
      <t>Downtime &gt; 2 hrs</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output is </t>
    </r>
    <r>
      <rPr>
        <b/>
        <sz val="11"/>
        <color theme="1"/>
        <rFont val="Calibri"/>
        <family val="2"/>
        <scheme val="minor"/>
      </rPr>
      <t>&lt; 1000 units</t>
    </r>
    <r>
      <rPr>
        <sz val="11"/>
        <color theme="1"/>
        <rFont val="Calibri"/>
        <family val="2"/>
        <scheme val="minor"/>
      </rPr>
      <t>.</t>
    </r>
  </si>
  <si>
    <t>6. Quality Control Alert</t>
  </si>
  <si>
    <r>
      <t>Question:</t>
    </r>
    <r>
      <rPr>
        <sz val="11"/>
        <color theme="1"/>
        <rFont val="Calibri"/>
        <family val="2"/>
        <scheme val="minor"/>
      </rPr>
      <t xml:space="preserve"> Mark employees as "At Risk" if they have </t>
    </r>
    <r>
      <rPr>
        <b/>
        <sz val="11"/>
        <color theme="1"/>
        <rFont val="Calibri"/>
        <family val="2"/>
        <scheme val="minor"/>
      </rPr>
      <t>experience &lt; 1 year</t>
    </r>
    <r>
      <rPr>
        <sz val="11"/>
        <color theme="1"/>
        <rFont val="Calibri"/>
        <family val="2"/>
        <scheme val="minor"/>
      </rPr>
      <t xml:space="preserve"> </t>
    </r>
    <r>
      <rPr>
        <b/>
        <sz val="11"/>
        <color theme="1"/>
        <rFont val="Calibri"/>
        <family val="2"/>
        <scheme val="minor"/>
      </rPr>
      <t>OR</t>
    </r>
    <r>
      <rPr>
        <sz val="11"/>
        <color theme="1"/>
        <rFont val="Calibri"/>
        <family val="2"/>
        <scheme val="minor"/>
      </rPr>
      <t xml:space="preserve"> </t>
    </r>
    <r>
      <rPr>
        <b/>
        <sz val="11"/>
        <color theme="1"/>
        <rFont val="Calibri"/>
        <family val="2"/>
        <scheme val="minor"/>
      </rPr>
      <t>performance rating &lt; 2</t>
    </r>
    <r>
      <rPr>
        <sz val="11"/>
        <color theme="1"/>
        <rFont val="Calibri"/>
        <family val="2"/>
        <scheme val="minor"/>
      </rPr>
      <t>.</t>
    </r>
  </si>
  <si>
    <t>7. Employee Exit Risk</t>
  </si>
  <si>
    <r>
      <t>Question:</t>
    </r>
    <r>
      <rPr>
        <sz val="11"/>
        <color theme="1"/>
        <rFont val="Calibri"/>
        <family val="2"/>
        <scheme val="minor"/>
      </rPr>
      <t xml:space="preserve"> Reject orders if the </t>
    </r>
    <r>
      <rPr>
        <b/>
        <sz val="11"/>
        <color theme="1"/>
        <rFont val="Calibri"/>
        <family val="2"/>
        <scheme val="minor"/>
      </rPr>
      <t>client is not VIP</t>
    </r>
    <r>
      <rPr>
        <sz val="11"/>
        <color theme="1"/>
        <rFont val="Calibri"/>
        <family val="2"/>
        <scheme val="minor"/>
      </rPr>
      <t xml:space="preserve"> </t>
    </r>
    <r>
      <rPr>
        <b/>
        <sz val="11"/>
        <color theme="1"/>
        <rFont val="Calibri"/>
        <family val="2"/>
        <scheme val="minor"/>
      </rPr>
      <t>AND</t>
    </r>
    <r>
      <rPr>
        <sz val="11"/>
        <color theme="1"/>
        <rFont val="Calibri"/>
        <family val="2"/>
        <scheme val="minor"/>
      </rPr>
      <t xml:space="preserve"> </t>
    </r>
    <r>
      <rPr>
        <b/>
        <sz val="11"/>
        <color theme="1"/>
        <rFont val="Calibri"/>
        <family val="2"/>
        <scheme val="minor"/>
      </rPr>
      <t>not urgent</t>
    </r>
    <r>
      <rPr>
        <sz val="11"/>
        <color theme="1"/>
        <rFont val="Calibri"/>
        <family val="2"/>
        <scheme val="minor"/>
      </rPr>
      <t xml:space="preserve"> </t>
    </r>
    <r>
      <rPr>
        <b/>
        <sz val="11"/>
        <color theme="1"/>
        <rFont val="Calibri"/>
        <family val="2"/>
        <scheme val="minor"/>
      </rPr>
      <t>OR</t>
    </r>
    <r>
      <rPr>
        <sz val="11"/>
        <color theme="1"/>
        <rFont val="Calibri"/>
        <family val="2"/>
        <scheme val="minor"/>
      </rPr>
      <t xml:space="preserve"> delivery date already passed.</t>
    </r>
  </si>
  <si>
    <t>8. Multiple Rejection Conditions</t>
  </si>
  <si>
    <t>Questions Related to HR Data</t>
  </si>
  <si>
    <t>OrderDate</t>
  </si>
  <si>
    <t>Region</t>
  </si>
  <si>
    <t>City</t>
  </si>
  <si>
    <t>Category</t>
  </si>
  <si>
    <t>Product</t>
  </si>
  <si>
    <t>Quantity</t>
  </si>
  <si>
    <t>UnitPrice</t>
  </si>
  <si>
    <t>TotalPrice</t>
  </si>
  <si>
    <t>Result 1</t>
  </si>
  <si>
    <t>Result 2</t>
  </si>
  <si>
    <t>Que 1:</t>
  </si>
  <si>
    <t>Expected Result 1</t>
  </si>
  <si>
    <t>Expected Result 2</t>
  </si>
  <si>
    <t>East</t>
  </si>
  <si>
    <t>Boston</t>
  </si>
  <si>
    <t>Bars</t>
  </si>
  <si>
    <t>Carrot</t>
  </si>
  <si>
    <t>If below conditions are all matched then show TRUE in Result column else FALSE
1) (Region is East &amp; City is Boston) OR (Category is cookies and Product is Chocolate Chip)
2) Total Price is less than 500</t>
  </si>
  <si>
    <t>Crackers</t>
  </si>
  <si>
    <t>Whole Wheat</t>
  </si>
  <si>
    <t>West</t>
  </si>
  <si>
    <t>Los Angeles</t>
  </si>
  <si>
    <t>Cookies</t>
  </si>
  <si>
    <t>Chocolate Chip</t>
  </si>
  <si>
    <t>New York</t>
  </si>
  <si>
    <t>Que 2:</t>
  </si>
  <si>
    <t>Arrowroot</t>
  </si>
  <si>
    <t>If any of the below conditions are matched then show TRUE in Result column else FALSE
1) (Neither Region is East nor City is Boston) and  Category is cookies and Product is Chocolate Chip
2) Total Price is greater than 500</t>
  </si>
  <si>
    <t>Snacks</t>
  </si>
  <si>
    <t>Potato Chips</t>
  </si>
  <si>
    <t>Oatmeal Raisin</t>
  </si>
  <si>
    <t>Bran</t>
  </si>
  <si>
    <t>San Diego</t>
  </si>
  <si>
    <t>Pretzels</t>
  </si>
  <si>
    <t>Banana</t>
  </si>
  <si>
    <t>PAYROLL ELIGIBLE</t>
  </si>
  <si>
    <t>APPRAISAL ELIGIBLE</t>
  </si>
  <si>
    <t>APPROVE LOAN</t>
  </si>
  <si>
    <t>NIGHT SHIFT</t>
  </si>
  <si>
    <t>EXPENSE APPROVAL</t>
  </si>
  <si>
    <t>TRIGGER ALERT</t>
  </si>
  <si>
    <t>EMPLOYEE EXIT RISK</t>
  </si>
  <si>
    <t>ORDER REJECTION</t>
  </si>
  <si>
    <t>ALL THE ANSWERS TO THESE 8 QUESTIONS ARE SOLVED IN THE HR DATA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</si>
</sst>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color theme="1"/>
      <name val="Calibri"/>
      <family val="2"/>
      <scheme val="minor"/>
    </font>
    <font>
      <b/>
      <sz val="11"/>
      <color theme="1"/>
      <name val="Calibri"/>
      <family val="2"/>
      <scheme val="minor"/>
    </font>
    <font>
      <b/>
      <sz val="13.5"/>
      <color theme="1"/>
      <name val="Calibri"/>
      <family val="2"/>
      <scheme val="minor"/>
    </font>
    <font>
      <b/>
      <sz val="10"/>
      <color theme="1"/>
      <name val="Calibri"/>
      <family val="2"/>
      <scheme val="minor"/>
    </font>
    <font>
      <sz val="10"/>
      <color theme="1"/>
      <name val="Calibri"/>
      <family val="2"/>
      <scheme val="minor"/>
    </font>
    <font>
      <b/>
      <sz val="10"/>
      <color rgb="FF000000"/>
      <name val="Calibri"/>
      <family val="2"/>
      <scheme val="minor"/>
    </font>
    <font>
      <b/>
      <sz val="11"/>
      <color theme="4"/>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8"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auto="1"/>
      </left>
      <right style="thin">
        <color auto="1"/>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2" borderId="2" xfId="0" applyFont="1" applyFill="1" applyBorder="1" applyAlignment="1">
      <alignment horizontal="center" wrapText="1"/>
    </xf>
    <xf numFmtId="0" fontId="3" fillId="2" borderId="3" xfId="0" applyFont="1" applyFill="1" applyBorder="1" applyAlignment="1">
      <alignment wrapText="1"/>
    </xf>
    <xf numFmtId="0" fontId="3" fillId="2" borderId="3" xfId="0" applyFont="1" applyFill="1" applyBorder="1" applyAlignment="1">
      <alignment horizontal="center" wrapText="1"/>
    </xf>
    <xf numFmtId="0" fontId="4" fillId="3" borderId="3" xfId="0" applyFont="1" applyFill="1" applyBorder="1" applyAlignment="1">
      <alignment horizontal="center" wrapText="1"/>
    </xf>
    <xf numFmtId="0" fontId="4" fillId="3" borderId="3" xfId="0" applyFont="1" applyFill="1" applyBorder="1" applyAlignment="1">
      <alignment wrapText="1"/>
    </xf>
    <xf numFmtId="0" fontId="4" fillId="0" borderId="4" xfId="0" applyFont="1" applyBorder="1" applyAlignment="1">
      <alignment wrapText="1"/>
    </xf>
    <xf numFmtId="0" fontId="4" fillId="4" borderId="4" xfId="0" applyFont="1" applyFill="1" applyBorder="1" applyAlignment="1">
      <alignment wrapText="1"/>
    </xf>
    <xf numFmtId="0" fontId="0" fillId="0" borderId="0" xfId="0" applyAlignment="1">
      <alignment wrapText="1"/>
    </xf>
    <xf numFmtId="15" fontId="4" fillId="2" borderId="5" xfId="0" applyNumberFormat="1" applyFont="1" applyFill="1" applyBorder="1" applyAlignment="1">
      <alignment horizontal="center" wrapText="1"/>
    </xf>
    <xf numFmtId="0" fontId="4" fillId="2" borderId="6" xfId="0" applyFont="1" applyFill="1" applyBorder="1" applyAlignment="1">
      <alignment wrapText="1"/>
    </xf>
    <xf numFmtId="0" fontId="4" fillId="2" borderId="6" xfId="0" applyFont="1" applyFill="1" applyBorder="1" applyAlignment="1">
      <alignment horizontal="center" wrapText="1"/>
    </xf>
    <xf numFmtId="0" fontId="4" fillId="0" borderId="6" xfId="0" applyFont="1" applyBorder="1" applyAlignment="1">
      <alignment horizontal="center" wrapText="1"/>
    </xf>
    <xf numFmtId="0" fontId="5" fillId="4" borderId="4" xfId="0" applyFont="1" applyFill="1" applyBorder="1" applyAlignment="1">
      <alignment wrapText="1"/>
    </xf>
    <xf numFmtId="0" fontId="5" fillId="4" borderId="4" xfId="0" applyFont="1" applyFill="1" applyBorder="1" applyAlignment="1">
      <alignment vertical="center" wrapText="1"/>
    </xf>
    <xf numFmtId="0" fontId="0" fillId="0" borderId="1" xfId="0" applyBorder="1" applyAlignment="1">
      <alignment horizontal="center"/>
    </xf>
    <xf numFmtId="0" fontId="1" fillId="0" borderId="0" xfId="0" applyFont="1" applyBorder="1" applyAlignment="1">
      <alignment horizontal="center"/>
    </xf>
    <xf numFmtId="0" fontId="1" fillId="0" borderId="0" xfId="0" applyFont="1" applyBorder="1" applyAlignment="1">
      <alignment horizontal="center"/>
    </xf>
    <xf numFmtId="0" fontId="6" fillId="0" borderId="0" xfId="0" applyFont="1"/>
    <xf numFmtId="0" fontId="1" fillId="5" borderId="7" xfId="0" applyFont="1" applyFill="1" applyBorder="1" applyAlignment="1">
      <alignment horizontal="center" vertical="top"/>
    </xf>
    <xf numFmtId="0" fontId="0" fillId="5" borderId="0" xfId="0" applyFill="1"/>
  </cellXfs>
  <cellStyles count="1">
    <cellStyle name="Normal" xfId="0" builtinId="0"/>
  </cellStyles>
  <dxfs count="0"/>
  <tableStyles count="1" defaultTableStyle="TableStyleMedium9" defaultPivotStyle="PivotStyleLight16">
    <tableStyle name="Invisible" pivot="0" table="0" count="0" xr9:uid="{3F59B2EA-F699-42A1-B7B7-418EC54C161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01"/>
  <sheetViews>
    <sheetView topLeftCell="R1" zoomScale="92" zoomScaleNormal="92" workbookViewId="0">
      <selection activeCell="AF8" sqref="AF8"/>
    </sheetView>
  </sheetViews>
  <sheetFormatPr defaultRowHeight="14.4" x14ac:dyDescent="0.3"/>
  <cols>
    <col min="1" max="1" width="15.88671875" customWidth="1"/>
    <col min="2" max="3" width="12.44140625" bestFit="1" customWidth="1"/>
    <col min="4" max="4" width="18.109375" bestFit="1" customWidth="1"/>
    <col min="5" max="5" width="15.33203125" customWidth="1"/>
    <col min="6" max="6" width="7.44140625" bestFit="1" customWidth="1"/>
    <col min="7" max="7" width="12.33203125" bestFit="1" customWidth="1"/>
    <col min="8" max="8" width="11.44140625" bestFit="1" customWidth="1"/>
    <col min="9" max="9" width="14.5546875" bestFit="1" customWidth="1"/>
    <col min="10" max="10" width="11" bestFit="1" customWidth="1"/>
    <col min="11" max="12" width="12.5546875" bestFit="1" customWidth="1"/>
    <col min="13" max="13" width="10.6640625" bestFit="1" customWidth="1"/>
    <col min="14" max="14" width="16.44140625" bestFit="1" customWidth="1"/>
    <col min="15" max="15" width="13" bestFit="1" customWidth="1"/>
    <col min="16" max="16" width="12" bestFit="1" customWidth="1"/>
    <col min="17" max="17" width="12.5546875" bestFit="1" customWidth="1"/>
    <col min="18" max="18" width="15.6640625" bestFit="1" customWidth="1"/>
    <col min="19" max="19" width="13.21875" customWidth="1"/>
    <col min="20" max="20" width="12.77734375" bestFit="1" customWidth="1"/>
    <col min="21" max="21" width="14.33203125" customWidth="1"/>
    <col min="22" max="22" width="14.5546875" bestFit="1" customWidth="1"/>
    <col min="23" max="23" width="12.21875" bestFit="1" customWidth="1"/>
    <col min="24" max="24" width="16.77734375" style="26" bestFit="1" customWidth="1"/>
    <col min="25" max="25" width="18.44140625" style="26" bestFit="1" customWidth="1"/>
    <col min="26" max="26" width="14.77734375" style="26" bestFit="1" customWidth="1"/>
    <col min="27" max="27" width="12" style="26" bestFit="1" customWidth="1"/>
    <col min="28" max="28" width="18.44140625" style="26" bestFit="1" customWidth="1"/>
    <col min="29" max="29" width="14.44140625" style="26" bestFit="1" customWidth="1"/>
    <col min="30" max="30" width="19" style="26" bestFit="1" customWidth="1"/>
    <col min="31" max="31" width="17.109375" style="26" bestFit="1"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5" t="s">
        <v>285</v>
      </c>
      <c r="Y1" s="25" t="s">
        <v>286</v>
      </c>
      <c r="Z1" s="25" t="s">
        <v>287</v>
      </c>
      <c r="AA1" s="25" t="s">
        <v>288</v>
      </c>
      <c r="AB1" s="25" t="s">
        <v>289</v>
      </c>
      <c r="AC1" s="25" t="s">
        <v>290</v>
      </c>
      <c r="AD1" s="25" t="s">
        <v>291</v>
      </c>
      <c r="AE1" s="25" t="s">
        <v>292</v>
      </c>
    </row>
    <row r="2" spans="1:31" x14ac:dyDescent="0.3">
      <c r="A2" t="s">
        <v>23</v>
      </c>
      <c r="B2">
        <v>30</v>
      </c>
      <c r="C2">
        <v>1</v>
      </c>
      <c r="D2">
        <v>1.1000000000000001</v>
      </c>
      <c r="E2">
        <v>3.1</v>
      </c>
      <c r="F2">
        <v>49256</v>
      </c>
      <c r="G2" t="s">
        <v>223</v>
      </c>
      <c r="H2">
        <v>404</v>
      </c>
      <c r="I2" t="s">
        <v>225</v>
      </c>
      <c r="J2" s="2">
        <v>45853</v>
      </c>
      <c r="K2" t="s">
        <v>224</v>
      </c>
      <c r="L2" t="s">
        <v>223</v>
      </c>
      <c r="M2" t="s">
        <v>227</v>
      </c>
      <c r="N2" s="2">
        <v>45857</v>
      </c>
      <c r="O2" t="s">
        <v>229</v>
      </c>
      <c r="P2" t="s">
        <v>223</v>
      </c>
      <c r="Q2" t="s">
        <v>223</v>
      </c>
      <c r="R2">
        <v>19390</v>
      </c>
      <c r="S2" t="s">
        <v>223</v>
      </c>
      <c r="T2" t="s">
        <v>231</v>
      </c>
      <c r="U2">
        <v>2.2000000000000002</v>
      </c>
      <c r="V2">
        <v>2.9</v>
      </c>
      <c r="W2">
        <v>1328</v>
      </c>
      <c r="X2" s="26" t="b">
        <f>AND(B2&gt;20,C2&lt;=2)</f>
        <v>1</v>
      </c>
      <c r="Y2" s="26" t="b">
        <f>AND(D2&gt;4,E2&gt;2)</f>
        <v>0</v>
      </c>
      <c r="Z2" s="26" t="b">
        <f>AND(F2&gt;50000,OR(G2="No",H2&gt;750))</f>
        <v>0</v>
      </c>
      <c r="AA2" s="26" t="b">
        <f>AND(OR(O2="Single", P2="Yes"), Q2="No")</f>
        <v>0</v>
      </c>
      <c r="AB2" s="26" t="b">
        <f>AND(R2&lt;10000,OR(S2="Yes",T2="Pre-approved"))</f>
        <v>0</v>
      </c>
      <c r="AC2" s="26" t="b">
        <f>AND(OR(U2&gt;5,V2&gt;2),W2&lt;1000)</f>
        <v>0</v>
      </c>
      <c r="AD2" s="26" t="b">
        <f>OR(E2&lt;1,D2&lt;2)</f>
        <v>1</v>
      </c>
      <c r="AE2" s="26" t="b">
        <f ca="1">OR(AND(M2&lt;&gt;"VIP", L2&lt;&gt;"Yes"), N2&lt;TODAY())</f>
        <v>1</v>
      </c>
    </row>
    <row r="3" spans="1:31" x14ac:dyDescent="0.3">
      <c r="A3" t="s">
        <v>24</v>
      </c>
      <c r="B3">
        <v>10</v>
      </c>
      <c r="C3">
        <v>2</v>
      </c>
      <c r="D3">
        <v>3.8</v>
      </c>
      <c r="E3">
        <v>3.7</v>
      </c>
      <c r="F3">
        <v>40379</v>
      </c>
      <c r="G3" t="s">
        <v>223</v>
      </c>
      <c r="H3">
        <v>644</v>
      </c>
      <c r="I3" t="s">
        <v>225</v>
      </c>
      <c r="J3" s="2">
        <v>45885</v>
      </c>
      <c r="K3" t="s">
        <v>224</v>
      </c>
      <c r="L3" t="s">
        <v>223</v>
      </c>
      <c r="M3" t="s">
        <v>228</v>
      </c>
      <c r="N3" s="2">
        <v>45866</v>
      </c>
      <c r="O3" t="s">
        <v>230</v>
      </c>
      <c r="P3" t="s">
        <v>223</v>
      </c>
      <c r="Q3" t="s">
        <v>224</v>
      </c>
      <c r="R3">
        <v>18571</v>
      </c>
      <c r="S3" t="s">
        <v>223</v>
      </c>
      <c r="T3" t="s">
        <v>231</v>
      </c>
      <c r="U3">
        <v>0.79</v>
      </c>
      <c r="V3">
        <v>1.5</v>
      </c>
      <c r="W3">
        <v>1143</v>
      </c>
      <c r="X3" s="26" t="b">
        <f t="shared" ref="X3:X66" si="0">AND(B3&gt;20,C3&lt;=2)</f>
        <v>0</v>
      </c>
      <c r="Y3" s="26" t="b">
        <f t="shared" ref="Y3:Y66" si="1">AND(D3&gt;4,E3&gt;2)</f>
        <v>0</v>
      </c>
      <c r="Z3" s="26" t="b">
        <f t="shared" ref="Z3:Z66" si="2">AND(F3&gt;50000,OR(G3="No",H3&gt;750))</f>
        <v>0</v>
      </c>
      <c r="AA3" s="26" t="b">
        <f t="shared" ref="AA3:AA66" si="3">AND(OR(O3="Single", P3="Yes"), Q3="No")</f>
        <v>1</v>
      </c>
      <c r="AB3" s="26" t="b">
        <f t="shared" ref="AB3:AB66" si="4">AND(R3&lt;10000,OR(S3="Yes",T3="Pre-approved"))</f>
        <v>0</v>
      </c>
      <c r="AC3" s="26" t="b">
        <f t="shared" ref="AC3:AC66" si="5">AND(OR(U3&gt;5,V3&gt;2),W3&lt;1000)</f>
        <v>0</v>
      </c>
      <c r="AD3" s="26" t="b">
        <f t="shared" ref="AD3:AD66" si="6">OR(E3&lt;1,D3&lt;2)</f>
        <v>0</v>
      </c>
      <c r="AE3" s="26" t="b">
        <f t="shared" ref="AE3:AE66" ca="1" si="7">OR(AND(M3&lt;&gt;"VIP", L3&lt;&gt;"Yes"), N3&lt;TODAY())</f>
        <v>0</v>
      </c>
    </row>
    <row r="4" spans="1:31" x14ac:dyDescent="0.3">
      <c r="A4" t="s">
        <v>25</v>
      </c>
      <c r="B4">
        <v>29</v>
      </c>
      <c r="C4">
        <v>5</v>
      </c>
      <c r="D4">
        <v>3.3</v>
      </c>
      <c r="E4">
        <v>7.2</v>
      </c>
      <c r="F4">
        <v>26006</v>
      </c>
      <c r="G4" t="s">
        <v>223</v>
      </c>
      <c r="H4">
        <v>596</v>
      </c>
      <c r="I4" t="s">
        <v>225</v>
      </c>
      <c r="J4" s="2">
        <v>45836</v>
      </c>
      <c r="K4" t="s">
        <v>223</v>
      </c>
      <c r="L4" t="s">
        <v>223</v>
      </c>
      <c r="M4" t="s">
        <v>228</v>
      </c>
      <c r="N4" s="2">
        <v>45863</v>
      </c>
      <c r="O4" t="s">
        <v>230</v>
      </c>
      <c r="P4" t="s">
        <v>224</v>
      </c>
      <c r="Q4" t="s">
        <v>223</v>
      </c>
      <c r="R4">
        <v>13130</v>
      </c>
      <c r="S4" t="s">
        <v>224</v>
      </c>
      <c r="T4" t="s">
        <v>232</v>
      </c>
      <c r="U4">
        <v>6.7</v>
      </c>
      <c r="V4">
        <v>3.5</v>
      </c>
      <c r="W4">
        <v>1199</v>
      </c>
      <c r="X4" s="26" t="b">
        <f t="shared" si="0"/>
        <v>0</v>
      </c>
      <c r="Y4" s="26" t="b">
        <f t="shared" si="1"/>
        <v>0</v>
      </c>
      <c r="Z4" s="26" t="b">
        <f t="shared" si="2"/>
        <v>0</v>
      </c>
      <c r="AA4" s="26" t="b">
        <f t="shared" si="3"/>
        <v>0</v>
      </c>
      <c r="AB4" s="26" t="b">
        <f t="shared" si="4"/>
        <v>0</v>
      </c>
      <c r="AC4" s="26" t="b">
        <f t="shared" si="5"/>
        <v>0</v>
      </c>
      <c r="AD4" s="26" t="b">
        <f t="shared" si="6"/>
        <v>0</v>
      </c>
      <c r="AE4" s="26" t="b">
        <f t="shared" ca="1" si="7"/>
        <v>0</v>
      </c>
    </row>
    <row r="5" spans="1:31" x14ac:dyDescent="0.3">
      <c r="A5" t="s">
        <v>26</v>
      </c>
      <c r="B5">
        <v>30</v>
      </c>
      <c r="C5">
        <v>1</v>
      </c>
      <c r="D5">
        <v>3.4</v>
      </c>
      <c r="E5">
        <v>2.1</v>
      </c>
      <c r="F5">
        <v>52087</v>
      </c>
      <c r="G5" t="s">
        <v>223</v>
      </c>
      <c r="H5">
        <v>773</v>
      </c>
      <c r="I5" t="s">
        <v>226</v>
      </c>
      <c r="J5" s="2">
        <v>45873</v>
      </c>
      <c r="K5" t="s">
        <v>223</v>
      </c>
      <c r="L5" t="s">
        <v>224</v>
      </c>
      <c r="M5" t="s">
        <v>227</v>
      </c>
      <c r="N5" s="2">
        <v>45862</v>
      </c>
      <c r="O5" t="s">
        <v>229</v>
      </c>
      <c r="P5" t="s">
        <v>224</v>
      </c>
      <c r="Q5" t="s">
        <v>224</v>
      </c>
      <c r="R5">
        <v>9773</v>
      </c>
      <c r="S5" t="s">
        <v>223</v>
      </c>
      <c r="T5" t="s">
        <v>232</v>
      </c>
      <c r="U5">
        <v>9.1300000000000008</v>
      </c>
      <c r="V5">
        <v>2.8</v>
      </c>
      <c r="W5">
        <v>1235</v>
      </c>
      <c r="X5" s="26" t="b">
        <f t="shared" si="0"/>
        <v>1</v>
      </c>
      <c r="Y5" s="26" t="b">
        <f t="shared" si="1"/>
        <v>0</v>
      </c>
      <c r="Z5" s="26" t="b">
        <f t="shared" si="2"/>
        <v>1</v>
      </c>
      <c r="AA5" s="26" t="b">
        <f t="shared" si="3"/>
        <v>1</v>
      </c>
      <c r="AB5" s="26" t="b">
        <f t="shared" si="4"/>
        <v>1</v>
      </c>
      <c r="AC5" s="26" t="b">
        <f t="shared" si="5"/>
        <v>0</v>
      </c>
      <c r="AD5" s="26" t="b">
        <f t="shared" si="6"/>
        <v>0</v>
      </c>
      <c r="AE5" s="26" t="b">
        <f t="shared" ca="1" si="7"/>
        <v>1</v>
      </c>
    </row>
    <row r="6" spans="1:31" x14ac:dyDescent="0.3">
      <c r="A6" t="s">
        <v>27</v>
      </c>
      <c r="B6">
        <v>20</v>
      </c>
      <c r="C6">
        <v>3</v>
      </c>
      <c r="D6">
        <v>3.6</v>
      </c>
      <c r="E6">
        <v>4.3</v>
      </c>
      <c r="F6">
        <v>80142</v>
      </c>
      <c r="G6" t="s">
        <v>223</v>
      </c>
      <c r="H6">
        <v>571</v>
      </c>
      <c r="I6" t="s">
        <v>225</v>
      </c>
      <c r="J6" s="2">
        <v>45875</v>
      </c>
      <c r="K6" t="s">
        <v>224</v>
      </c>
      <c r="L6" t="s">
        <v>224</v>
      </c>
      <c r="M6" t="s">
        <v>228</v>
      </c>
      <c r="N6" s="2">
        <v>45866</v>
      </c>
      <c r="O6" t="s">
        <v>229</v>
      </c>
      <c r="P6" t="s">
        <v>223</v>
      </c>
      <c r="Q6" t="s">
        <v>224</v>
      </c>
      <c r="R6">
        <v>3978</v>
      </c>
      <c r="S6" t="s">
        <v>223</v>
      </c>
      <c r="T6" t="s">
        <v>232</v>
      </c>
      <c r="U6">
        <v>1.53</v>
      </c>
      <c r="V6">
        <v>0.8</v>
      </c>
      <c r="W6">
        <v>1196</v>
      </c>
      <c r="X6" s="26" t="b">
        <f t="shared" si="0"/>
        <v>0</v>
      </c>
      <c r="Y6" s="26" t="b">
        <f t="shared" si="1"/>
        <v>0</v>
      </c>
      <c r="Z6" s="26" t="b">
        <f t="shared" si="2"/>
        <v>0</v>
      </c>
      <c r="AA6" s="26" t="b">
        <f t="shared" si="3"/>
        <v>1</v>
      </c>
      <c r="AB6" s="26" t="b">
        <f t="shared" si="4"/>
        <v>1</v>
      </c>
      <c r="AC6" s="26" t="b">
        <f t="shared" si="5"/>
        <v>0</v>
      </c>
      <c r="AD6" s="26" t="b">
        <f t="shared" si="6"/>
        <v>0</v>
      </c>
      <c r="AE6" s="26" t="b">
        <f t="shared" ca="1" si="7"/>
        <v>0</v>
      </c>
    </row>
    <row r="7" spans="1:31" x14ac:dyDescent="0.3">
      <c r="A7" t="s">
        <v>28</v>
      </c>
      <c r="B7">
        <v>23</v>
      </c>
      <c r="C7">
        <v>9</v>
      </c>
      <c r="D7">
        <v>1.3</v>
      </c>
      <c r="E7">
        <v>4.0999999999999996</v>
      </c>
      <c r="F7">
        <v>81348</v>
      </c>
      <c r="G7" t="s">
        <v>224</v>
      </c>
      <c r="H7">
        <v>311</v>
      </c>
      <c r="I7" t="s">
        <v>225</v>
      </c>
      <c r="J7" s="2">
        <v>45847</v>
      </c>
      <c r="K7" t="s">
        <v>224</v>
      </c>
      <c r="L7" t="s">
        <v>224</v>
      </c>
      <c r="M7" t="s">
        <v>227</v>
      </c>
      <c r="N7" s="2">
        <v>45864</v>
      </c>
      <c r="O7" t="s">
        <v>230</v>
      </c>
      <c r="P7" t="s">
        <v>223</v>
      </c>
      <c r="Q7" t="s">
        <v>224</v>
      </c>
      <c r="R7">
        <v>1106</v>
      </c>
      <c r="S7" t="s">
        <v>224</v>
      </c>
      <c r="T7" t="s">
        <v>232</v>
      </c>
      <c r="U7">
        <v>5.08</v>
      </c>
      <c r="V7">
        <v>0.5</v>
      </c>
      <c r="W7">
        <v>1140</v>
      </c>
      <c r="X7" s="26" t="b">
        <f t="shared" si="0"/>
        <v>0</v>
      </c>
      <c r="Y7" s="26" t="b">
        <f t="shared" si="1"/>
        <v>0</v>
      </c>
      <c r="Z7" s="26" t="b">
        <f t="shared" si="2"/>
        <v>1</v>
      </c>
      <c r="AA7" s="26" t="b">
        <f t="shared" si="3"/>
        <v>1</v>
      </c>
      <c r="AB7" s="26" t="b">
        <f t="shared" si="4"/>
        <v>1</v>
      </c>
      <c r="AC7" s="26" t="b">
        <f t="shared" si="5"/>
        <v>0</v>
      </c>
      <c r="AD7" s="26" t="b">
        <f t="shared" si="6"/>
        <v>1</v>
      </c>
      <c r="AE7" s="26" t="b">
        <f t="shared" ca="1" si="7"/>
        <v>1</v>
      </c>
    </row>
    <row r="8" spans="1:31" x14ac:dyDescent="0.3">
      <c r="A8" t="s">
        <v>29</v>
      </c>
      <c r="B8">
        <v>19</v>
      </c>
      <c r="C8">
        <v>10</v>
      </c>
      <c r="D8">
        <v>3</v>
      </c>
      <c r="E8">
        <v>2.4</v>
      </c>
      <c r="F8">
        <v>69009</v>
      </c>
      <c r="G8" t="s">
        <v>223</v>
      </c>
      <c r="H8">
        <v>843</v>
      </c>
      <c r="I8" t="s">
        <v>225</v>
      </c>
      <c r="J8" s="2">
        <v>45852</v>
      </c>
      <c r="K8" t="s">
        <v>224</v>
      </c>
      <c r="L8" t="s">
        <v>224</v>
      </c>
      <c r="M8" t="s">
        <v>227</v>
      </c>
      <c r="N8" s="2">
        <v>45858</v>
      </c>
      <c r="O8" t="s">
        <v>230</v>
      </c>
      <c r="P8" t="s">
        <v>224</v>
      </c>
      <c r="Q8" t="s">
        <v>223</v>
      </c>
      <c r="R8">
        <v>2898</v>
      </c>
      <c r="S8" t="s">
        <v>223</v>
      </c>
      <c r="T8" t="s">
        <v>232</v>
      </c>
      <c r="U8">
        <v>0.86</v>
      </c>
      <c r="V8">
        <v>2.4</v>
      </c>
      <c r="W8">
        <v>570</v>
      </c>
      <c r="X8" s="26" t="b">
        <f t="shared" si="0"/>
        <v>0</v>
      </c>
      <c r="Y8" s="26" t="b">
        <f t="shared" si="1"/>
        <v>0</v>
      </c>
      <c r="Z8" s="26" t="b">
        <f t="shared" si="2"/>
        <v>1</v>
      </c>
      <c r="AA8" s="26" t="b">
        <f t="shared" si="3"/>
        <v>0</v>
      </c>
      <c r="AB8" s="26" t="b">
        <f t="shared" si="4"/>
        <v>1</v>
      </c>
      <c r="AC8" s="26" t="b">
        <f t="shared" si="5"/>
        <v>1</v>
      </c>
      <c r="AD8" s="26" t="b">
        <f t="shared" si="6"/>
        <v>0</v>
      </c>
      <c r="AE8" s="26" t="b">
        <f t="shared" ca="1" si="7"/>
        <v>1</v>
      </c>
    </row>
    <row r="9" spans="1:31" x14ac:dyDescent="0.3">
      <c r="A9" t="s">
        <v>30</v>
      </c>
      <c r="B9">
        <v>27</v>
      </c>
      <c r="C9">
        <v>2</v>
      </c>
      <c r="D9">
        <v>1.5</v>
      </c>
      <c r="E9">
        <v>5</v>
      </c>
      <c r="F9">
        <v>92063</v>
      </c>
      <c r="G9" t="s">
        <v>223</v>
      </c>
      <c r="H9">
        <v>571</v>
      </c>
      <c r="I9" t="s">
        <v>226</v>
      </c>
      <c r="J9" s="2">
        <v>45877</v>
      </c>
      <c r="K9" t="s">
        <v>223</v>
      </c>
      <c r="L9" t="s">
        <v>224</v>
      </c>
      <c r="M9" t="s">
        <v>228</v>
      </c>
      <c r="N9" s="2">
        <v>45866</v>
      </c>
      <c r="O9" t="s">
        <v>230</v>
      </c>
      <c r="P9" t="s">
        <v>224</v>
      </c>
      <c r="Q9" t="s">
        <v>223</v>
      </c>
      <c r="R9">
        <v>9123</v>
      </c>
      <c r="S9" t="s">
        <v>223</v>
      </c>
      <c r="T9" t="s">
        <v>232</v>
      </c>
      <c r="U9">
        <v>3.38</v>
      </c>
      <c r="V9">
        <v>2.9</v>
      </c>
      <c r="W9">
        <v>735</v>
      </c>
      <c r="X9" s="26" t="b">
        <f t="shared" si="0"/>
        <v>1</v>
      </c>
      <c r="Y9" s="26" t="b">
        <f t="shared" si="1"/>
        <v>0</v>
      </c>
      <c r="Z9" s="26" t="b">
        <f t="shared" si="2"/>
        <v>0</v>
      </c>
      <c r="AA9" s="26" t="b">
        <f t="shared" si="3"/>
        <v>0</v>
      </c>
      <c r="AB9" s="26" t="b">
        <f t="shared" si="4"/>
        <v>1</v>
      </c>
      <c r="AC9" s="26" t="b">
        <f t="shared" si="5"/>
        <v>1</v>
      </c>
      <c r="AD9" s="26" t="b">
        <f t="shared" si="6"/>
        <v>1</v>
      </c>
      <c r="AE9" s="26" t="b">
        <f t="shared" ca="1" si="7"/>
        <v>0</v>
      </c>
    </row>
    <row r="10" spans="1:31" x14ac:dyDescent="0.3">
      <c r="A10" t="s">
        <v>31</v>
      </c>
      <c r="B10">
        <v>28</v>
      </c>
      <c r="C10">
        <v>3</v>
      </c>
      <c r="D10">
        <v>1</v>
      </c>
      <c r="E10">
        <v>7.2</v>
      </c>
      <c r="F10">
        <v>27716</v>
      </c>
      <c r="G10" t="s">
        <v>223</v>
      </c>
      <c r="H10">
        <v>369</v>
      </c>
      <c r="I10" t="s">
        <v>225</v>
      </c>
      <c r="J10" s="2">
        <v>45835</v>
      </c>
      <c r="K10" t="s">
        <v>224</v>
      </c>
      <c r="L10" t="s">
        <v>223</v>
      </c>
      <c r="M10" t="s">
        <v>227</v>
      </c>
      <c r="N10" s="2">
        <v>45863</v>
      </c>
      <c r="O10" t="s">
        <v>230</v>
      </c>
      <c r="P10" t="s">
        <v>223</v>
      </c>
      <c r="Q10" t="s">
        <v>223</v>
      </c>
      <c r="R10">
        <v>19711</v>
      </c>
      <c r="S10" t="s">
        <v>224</v>
      </c>
      <c r="T10" t="s">
        <v>232</v>
      </c>
      <c r="U10">
        <v>7.85</v>
      </c>
      <c r="V10">
        <v>4</v>
      </c>
      <c r="W10">
        <v>694</v>
      </c>
      <c r="X10" s="26" t="b">
        <f t="shared" si="0"/>
        <v>0</v>
      </c>
      <c r="Y10" s="26" t="b">
        <f t="shared" si="1"/>
        <v>0</v>
      </c>
      <c r="Z10" s="26" t="b">
        <f t="shared" si="2"/>
        <v>0</v>
      </c>
      <c r="AA10" s="26" t="b">
        <f t="shared" si="3"/>
        <v>0</v>
      </c>
      <c r="AB10" s="26" t="b">
        <f t="shared" si="4"/>
        <v>0</v>
      </c>
      <c r="AC10" s="26" t="b">
        <f t="shared" si="5"/>
        <v>1</v>
      </c>
      <c r="AD10" s="26" t="b">
        <f t="shared" si="6"/>
        <v>1</v>
      </c>
      <c r="AE10" s="26" t="b">
        <f t="shared" ca="1" si="7"/>
        <v>0</v>
      </c>
    </row>
    <row r="11" spans="1:31" x14ac:dyDescent="0.3">
      <c r="A11" t="s">
        <v>32</v>
      </c>
      <c r="B11">
        <v>13</v>
      </c>
      <c r="C11">
        <v>1</v>
      </c>
      <c r="D11">
        <v>3.6</v>
      </c>
      <c r="E11">
        <v>3.9</v>
      </c>
      <c r="F11">
        <v>73883</v>
      </c>
      <c r="G11" t="s">
        <v>224</v>
      </c>
      <c r="H11">
        <v>355</v>
      </c>
      <c r="I11" t="s">
        <v>225</v>
      </c>
      <c r="J11" s="2">
        <v>45887</v>
      </c>
      <c r="K11" t="s">
        <v>224</v>
      </c>
      <c r="L11" t="s">
        <v>224</v>
      </c>
      <c r="M11" t="s">
        <v>227</v>
      </c>
      <c r="N11" s="2">
        <v>45862</v>
      </c>
      <c r="O11" t="s">
        <v>229</v>
      </c>
      <c r="P11" t="s">
        <v>223</v>
      </c>
      <c r="Q11" t="s">
        <v>224</v>
      </c>
      <c r="R11">
        <v>5593</v>
      </c>
      <c r="S11" t="s">
        <v>224</v>
      </c>
      <c r="T11" t="s">
        <v>232</v>
      </c>
      <c r="U11">
        <v>2.79</v>
      </c>
      <c r="V11">
        <v>1.2</v>
      </c>
      <c r="W11">
        <v>1445</v>
      </c>
      <c r="X11" s="26" t="b">
        <f t="shared" si="0"/>
        <v>0</v>
      </c>
      <c r="Y11" s="26" t="b">
        <f t="shared" si="1"/>
        <v>0</v>
      </c>
      <c r="Z11" s="26" t="b">
        <f t="shared" si="2"/>
        <v>1</v>
      </c>
      <c r="AA11" s="26" t="b">
        <f t="shared" si="3"/>
        <v>1</v>
      </c>
      <c r="AB11" s="26" t="b">
        <f t="shared" si="4"/>
        <v>1</v>
      </c>
      <c r="AC11" s="26" t="b">
        <f t="shared" si="5"/>
        <v>0</v>
      </c>
      <c r="AD11" s="26" t="b">
        <f t="shared" si="6"/>
        <v>0</v>
      </c>
      <c r="AE11" s="26" t="b">
        <f t="shared" ca="1" si="7"/>
        <v>1</v>
      </c>
    </row>
    <row r="12" spans="1:31" x14ac:dyDescent="0.3">
      <c r="A12" t="s">
        <v>33</v>
      </c>
      <c r="B12">
        <v>12</v>
      </c>
      <c r="C12">
        <v>7</v>
      </c>
      <c r="D12">
        <v>4.2</v>
      </c>
      <c r="E12">
        <v>8.6</v>
      </c>
      <c r="F12">
        <v>32833</v>
      </c>
      <c r="G12" t="s">
        <v>223</v>
      </c>
      <c r="H12">
        <v>315</v>
      </c>
      <c r="I12" t="s">
        <v>225</v>
      </c>
      <c r="J12" s="2">
        <v>45831</v>
      </c>
      <c r="K12" t="s">
        <v>223</v>
      </c>
      <c r="L12" t="s">
        <v>223</v>
      </c>
      <c r="M12" t="s">
        <v>228</v>
      </c>
      <c r="N12" s="2">
        <v>45870</v>
      </c>
      <c r="O12" t="s">
        <v>230</v>
      </c>
      <c r="P12" t="s">
        <v>223</v>
      </c>
      <c r="Q12" t="s">
        <v>224</v>
      </c>
      <c r="R12">
        <v>2921</v>
      </c>
      <c r="S12" t="s">
        <v>223</v>
      </c>
      <c r="T12" t="s">
        <v>231</v>
      </c>
      <c r="U12">
        <v>0.02</v>
      </c>
      <c r="V12">
        <v>2</v>
      </c>
      <c r="W12">
        <v>1448</v>
      </c>
      <c r="X12" s="26" t="b">
        <f t="shared" si="0"/>
        <v>0</v>
      </c>
      <c r="Y12" s="26" t="b">
        <f t="shared" si="1"/>
        <v>1</v>
      </c>
      <c r="Z12" s="26" t="b">
        <f t="shared" si="2"/>
        <v>0</v>
      </c>
      <c r="AA12" s="26" t="b">
        <f t="shared" si="3"/>
        <v>1</v>
      </c>
      <c r="AB12" s="26" t="b">
        <f t="shared" si="4"/>
        <v>1</v>
      </c>
      <c r="AC12" s="26" t="b">
        <f t="shared" si="5"/>
        <v>0</v>
      </c>
      <c r="AD12" s="26" t="b">
        <f t="shared" si="6"/>
        <v>0</v>
      </c>
      <c r="AE12" s="26" t="b">
        <f t="shared" ca="1" si="7"/>
        <v>0</v>
      </c>
    </row>
    <row r="13" spans="1:31" x14ac:dyDescent="0.3">
      <c r="A13" t="s">
        <v>34</v>
      </c>
      <c r="B13">
        <v>24</v>
      </c>
      <c r="C13">
        <v>4</v>
      </c>
      <c r="D13">
        <v>2.7</v>
      </c>
      <c r="E13">
        <v>9.6</v>
      </c>
      <c r="F13">
        <v>92845</v>
      </c>
      <c r="G13" t="s">
        <v>224</v>
      </c>
      <c r="H13">
        <v>458</v>
      </c>
      <c r="I13" t="s">
        <v>225</v>
      </c>
      <c r="J13" s="2">
        <v>45872</v>
      </c>
      <c r="K13" t="s">
        <v>223</v>
      </c>
      <c r="L13" t="s">
        <v>223</v>
      </c>
      <c r="M13" t="s">
        <v>227</v>
      </c>
      <c r="N13" s="2">
        <v>45865</v>
      </c>
      <c r="O13" t="s">
        <v>229</v>
      </c>
      <c r="P13" t="s">
        <v>223</v>
      </c>
      <c r="Q13" t="s">
        <v>224</v>
      </c>
      <c r="R13">
        <v>17477</v>
      </c>
      <c r="S13" t="s">
        <v>223</v>
      </c>
      <c r="T13" t="s">
        <v>232</v>
      </c>
      <c r="U13">
        <v>9.61</v>
      </c>
      <c r="V13">
        <v>0.4</v>
      </c>
      <c r="W13">
        <v>690</v>
      </c>
      <c r="X13" s="26" t="b">
        <f t="shared" si="0"/>
        <v>0</v>
      </c>
      <c r="Y13" s="26" t="b">
        <f t="shared" si="1"/>
        <v>0</v>
      </c>
      <c r="Z13" s="26" t="b">
        <f t="shared" si="2"/>
        <v>1</v>
      </c>
      <c r="AA13" s="26" t="b">
        <f t="shared" si="3"/>
        <v>1</v>
      </c>
      <c r="AB13" s="26" t="b">
        <f t="shared" si="4"/>
        <v>0</v>
      </c>
      <c r="AC13" s="26" t="b">
        <f t="shared" si="5"/>
        <v>1</v>
      </c>
      <c r="AD13" s="26" t="b">
        <f t="shared" si="6"/>
        <v>0</v>
      </c>
      <c r="AE13" s="26" t="b">
        <f t="shared" ca="1" si="7"/>
        <v>0</v>
      </c>
    </row>
    <row r="14" spans="1:31" x14ac:dyDescent="0.3">
      <c r="A14" t="s">
        <v>35</v>
      </c>
      <c r="B14">
        <v>12</v>
      </c>
      <c r="C14">
        <v>9</v>
      </c>
      <c r="D14">
        <v>1.3</v>
      </c>
      <c r="E14">
        <v>8.6999999999999993</v>
      </c>
      <c r="F14">
        <v>72923</v>
      </c>
      <c r="G14" t="s">
        <v>223</v>
      </c>
      <c r="H14">
        <v>552</v>
      </c>
      <c r="I14" t="s">
        <v>225</v>
      </c>
      <c r="J14" s="2">
        <v>45851</v>
      </c>
      <c r="K14" t="s">
        <v>223</v>
      </c>
      <c r="L14" t="s">
        <v>224</v>
      </c>
      <c r="M14" t="s">
        <v>228</v>
      </c>
      <c r="N14" s="2">
        <v>45863</v>
      </c>
      <c r="O14" t="s">
        <v>229</v>
      </c>
      <c r="P14" t="s">
        <v>224</v>
      </c>
      <c r="Q14" t="s">
        <v>223</v>
      </c>
      <c r="R14">
        <v>9703</v>
      </c>
      <c r="S14" t="s">
        <v>224</v>
      </c>
      <c r="T14" t="s">
        <v>232</v>
      </c>
      <c r="U14">
        <v>6.72</v>
      </c>
      <c r="V14">
        <v>1.5</v>
      </c>
      <c r="W14">
        <v>823</v>
      </c>
      <c r="X14" s="26" t="b">
        <f t="shared" si="0"/>
        <v>0</v>
      </c>
      <c r="Y14" s="26" t="b">
        <f t="shared" si="1"/>
        <v>0</v>
      </c>
      <c r="Z14" s="26" t="b">
        <f t="shared" si="2"/>
        <v>0</v>
      </c>
      <c r="AA14" s="26" t="b">
        <f t="shared" si="3"/>
        <v>0</v>
      </c>
      <c r="AB14" s="26" t="b">
        <f t="shared" si="4"/>
        <v>1</v>
      </c>
      <c r="AC14" s="26" t="b">
        <f t="shared" si="5"/>
        <v>1</v>
      </c>
      <c r="AD14" s="26" t="b">
        <f t="shared" si="6"/>
        <v>1</v>
      </c>
      <c r="AE14" s="26" t="b">
        <f t="shared" ca="1" si="7"/>
        <v>0</v>
      </c>
    </row>
    <row r="15" spans="1:31" x14ac:dyDescent="0.3">
      <c r="A15" t="s">
        <v>36</v>
      </c>
      <c r="B15">
        <v>12</v>
      </c>
      <c r="C15">
        <v>0</v>
      </c>
      <c r="D15">
        <v>2.8</v>
      </c>
      <c r="E15">
        <v>10</v>
      </c>
      <c r="F15">
        <v>33104</v>
      </c>
      <c r="G15" t="s">
        <v>223</v>
      </c>
      <c r="H15">
        <v>850</v>
      </c>
      <c r="I15" t="s">
        <v>225</v>
      </c>
      <c r="J15" s="2">
        <v>45858</v>
      </c>
      <c r="K15" t="s">
        <v>224</v>
      </c>
      <c r="L15" t="s">
        <v>223</v>
      </c>
      <c r="M15" t="s">
        <v>228</v>
      </c>
      <c r="N15" s="2">
        <v>45857</v>
      </c>
      <c r="O15" t="s">
        <v>229</v>
      </c>
      <c r="P15" t="s">
        <v>224</v>
      </c>
      <c r="Q15" t="s">
        <v>224</v>
      </c>
      <c r="R15">
        <v>6169</v>
      </c>
      <c r="S15" t="s">
        <v>224</v>
      </c>
      <c r="T15" t="s">
        <v>231</v>
      </c>
      <c r="U15">
        <v>6.12</v>
      </c>
      <c r="V15">
        <v>4.9000000000000004</v>
      </c>
      <c r="W15">
        <v>1169</v>
      </c>
      <c r="X15" s="26" t="b">
        <f t="shared" si="0"/>
        <v>0</v>
      </c>
      <c r="Y15" s="26" t="b">
        <f t="shared" si="1"/>
        <v>0</v>
      </c>
      <c r="Z15" s="26" t="b">
        <f t="shared" si="2"/>
        <v>0</v>
      </c>
      <c r="AA15" s="26" t="b">
        <f t="shared" si="3"/>
        <v>1</v>
      </c>
      <c r="AB15" s="26" t="b">
        <f t="shared" si="4"/>
        <v>0</v>
      </c>
      <c r="AC15" s="26" t="b">
        <f t="shared" si="5"/>
        <v>0</v>
      </c>
      <c r="AD15" s="26" t="b">
        <f t="shared" si="6"/>
        <v>0</v>
      </c>
      <c r="AE15" s="26" t="b">
        <f t="shared" ca="1" si="7"/>
        <v>1</v>
      </c>
    </row>
    <row r="16" spans="1:31" x14ac:dyDescent="0.3">
      <c r="A16" t="s">
        <v>37</v>
      </c>
      <c r="B16">
        <v>26</v>
      </c>
      <c r="C16">
        <v>0</v>
      </c>
      <c r="D16">
        <v>3.7</v>
      </c>
      <c r="E16">
        <v>5.8</v>
      </c>
      <c r="F16">
        <v>33577</v>
      </c>
      <c r="G16" t="s">
        <v>223</v>
      </c>
      <c r="H16">
        <v>570</v>
      </c>
      <c r="I16" t="s">
        <v>225</v>
      </c>
      <c r="J16" s="2">
        <v>45834</v>
      </c>
      <c r="K16" t="s">
        <v>223</v>
      </c>
      <c r="L16" t="s">
        <v>223</v>
      </c>
      <c r="M16" t="s">
        <v>228</v>
      </c>
      <c r="N16" s="2">
        <v>45864</v>
      </c>
      <c r="O16" t="s">
        <v>229</v>
      </c>
      <c r="P16" t="s">
        <v>224</v>
      </c>
      <c r="Q16" t="s">
        <v>223</v>
      </c>
      <c r="R16">
        <v>9650</v>
      </c>
      <c r="S16" t="s">
        <v>224</v>
      </c>
      <c r="T16" t="s">
        <v>231</v>
      </c>
      <c r="U16">
        <v>9.0500000000000007</v>
      </c>
      <c r="V16">
        <v>4.2</v>
      </c>
      <c r="W16">
        <v>594</v>
      </c>
      <c r="X16" s="26" t="b">
        <f t="shared" si="0"/>
        <v>1</v>
      </c>
      <c r="Y16" s="26" t="b">
        <f t="shared" si="1"/>
        <v>0</v>
      </c>
      <c r="Z16" s="26" t="b">
        <f t="shared" si="2"/>
        <v>0</v>
      </c>
      <c r="AA16" s="26" t="b">
        <f t="shared" si="3"/>
        <v>0</v>
      </c>
      <c r="AB16" s="26" t="b">
        <f t="shared" si="4"/>
        <v>0</v>
      </c>
      <c r="AC16" s="26" t="b">
        <f t="shared" si="5"/>
        <v>1</v>
      </c>
      <c r="AD16" s="26" t="b">
        <f t="shared" si="6"/>
        <v>0</v>
      </c>
      <c r="AE16" s="26" t="b">
        <f t="shared" ca="1" si="7"/>
        <v>0</v>
      </c>
    </row>
    <row r="17" spans="1:31" x14ac:dyDescent="0.3">
      <c r="A17" t="s">
        <v>38</v>
      </c>
      <c r="B17">
        <v>30</v>
      </c>
      <c r="C17">
        <v>6</v>
      </c>
      <c r="D17">
        <v>4.3</v>
      </c>
      <c r="E17">
        <v>0.9</v>
      </c>
      <c r="F17">
        <v>63719</v>
      </c>
      <c r="G17" t="s">
        <v>223</v>
      </c>
      <c r="H17">
        <v>568</v>
      </c>
      <c r="I17" t="s">
        <v>225</v>
      </c>
      <c r="J17" s="2">
        <v>45843</v>
      </c>
      <c r="K17" t="s">
        <v>224</v>
      </c>
      <c r="L17" t="s">
        <v>224</v>
      </c>
      <c r="M17" t="s">
        <v>227</v>
      </c>
      <c r="N17" s="2">
        <v>45858</v>
      </c>
      <c r="O17" t="s">
        <v>229</v>
      </c>
      <c r="P17" t="s">
        <v>223</v>
      </c>
      <c r="Q17" t="s">
        <v>223</v>
      </c>
      <c r="R17">
        <v>13098</v>
      </c>
      <c r="S17" t="s">
        <v>223</v>
      </c>
      <c r="T17" t="s">
        <v>231</v>
      </c>
      <c r="U17">
        <v>1.27</v>
      </c>
      <c r="V17">
        <v>1.5</v>
      </c>
      <c r="W17">
        <v>1420</v>
      </c>
      <c r="X17" s="26" t="b">
        <f t="shared" si="0"/>
        <v>0</v>
      </c>
      <c r="Y17" s="26" t="b">
        <f t="shared" si="1"/>
        <v>0</v>
      </c>
      <c r="Z17" s="26" t="b">
        <f t="shared" si="2"/>
        <v>0</v>
      </c>
      <c r="AA17" s="26" t="b">
        <f t="shared" si="3"/>
        <v>0</v>
      </c>
      <c r="AB17" s="26" t="b">
        <f t="shared" si="4"/>
        <v>0</v>
      </c>
      <c r="AC17" s="26" t="b">
        <f t="shared" si="5"/>
        <v>0</v>
      </c>
      <c r="AD17" s="26" t="b">
        <f t="shared" si="6"/>
        <v>1</v>
      </c>
      <c r="AE17" s="26" t="b">
        <f t="shared" ca="1" si="7"/>
        <v>1</v>
      </c>
    </row>
    <row r="18" spans="1:31" x14ac:dyDescent="0.3">
      <c r="A18" t="s">
        <v>39</v>
      </c>
      <c r="B18">
        <v>11</v>
      </c>
      <c r="C18">
        <v>5</v>
      </c>
      <c r="D18">
        <v>1.8</v>
      </c>
      <c r="E18">
        <v>2.9</v>
      </c>
      <c r="F18">
        <v>33473</v>
      </c>
      <c r="G18" t="s">
        <v>224</v>
      </c>
      <c r="H18">
        <v>716</v>
      </c>
      <c r="I18" t="s">
        <v>225</v>
      </c>
      <c r="J18" s="2">
        <v>45831</v>
      </c>
      <c r="K18" t="s">
        <v>223</v>
      </c>
      <c r="L18" t="s">
        <v>223</v>
      </c>
      <c r="M18" t="s">
        <v>227</v>
      </c>
      <c r="N18" s="2">
        <v>45868</v>
      </c>
      <c r="O18" t="s">
        <v>229</v>
      </c>
      <c r="P18" t="s">
        <v>223</v>
      </c>
      <c r="Q18" t="s">
        <v>224</v>
      </c>
      <c r="R18">
        <v>14491</v>
      </c>
      <c r="S18" t="s">
        <v>223</v>
      </c>
      <c r="T18" t="s">
        <v>231</v>
      </c>
      <c r="U18">
        <v>1.59</v>
      </c>
      <c r="V18">
        <v>3.5</v>
      </c>
      <c r="W18">
        <v>891</v>
      </c>
      <c r="X18" s="26" t="b">
        <f t="shared" si="0"/>
        <v>0</v>
      </c>
      <c r="Y18" s="26" t="b">
        <f t="shared" si="1"/>
        <v>0</v>
      </c>
      <c r="Z18" s="26" t="b">
        <f t="shared" si="2"/>
        <v>0</v>
      </c>
      <c r="AA18" s="26" t="b">
        <f t="shared" si="3"/>
        <v>1</v>
      </c>
      <c r="AB18" s="26" t="b">
        <f t="shared" si="4"/>
        <v>0</v>
      </c>
      <c r="AC18" s="26" t="b">
        <f t="shared" si="5"/>
        <v>1</v>
      </c>
      <c r="AD18" s="26" t="b">
        <f t="shared" si="6"/>
        <v>1</v>
      </c>
      <c r="AE18" s="26" t="b">
        <f t="shared" ca="1" si="7"/>
        <v>0</v>
      </c>
    </row>
    <row r="19" spans="1:31" x14ac:dyDescent="0.3">
      <c r="A19" t="s">
        <v>40</v>
      </c>
      <c r="B19">
        <v>11</v>
      </c>
      <c r="C19">
        <v>7</v>
      </c>
      <c r="D19">
        <v>1.9</v>
      </c>
      <c r="E19">
        <v>8.3000000000000007</v>
      </c>
      <c r="F19">
        <v>80332</v>
      </c>
      <c r="G19" t="s">
        <v>224</v>
      </c>
      <c r="H19">
        <v>612</v>
      </c>
      <c r="I19" t="s">
        <v>225</v>
      </c>
      <c r="J19" s="2">
        <v>45876</v>
      </c>
      <c r="K19" t="s">
        <v>223</v>
      </c>
      <c r="L19" t="s">
        <v>223</v>
      </c>
      <c r="M19" t="s">
        <v>228</v>
      </c>
      <c r="N19" s="2">
        <v>45865</v>
      </c>
      <c r="O19" t="s">
        <v>230</v>
      </c>
      <c r="P19" t="s">
        <v>223</v>
      </c>
      <c r="Q19" t="s">
        <v>224</v>
      </c>
      <c r="R19">
        <v>12506</v>
      </c>
      <c r="S19" t="s">
        <v>224</v>
      </c>
      <c r="T19" t="s">
        <v>231</v>
      </c>
      <c r="U19">
        <v>9.39</v>
      </c>
      <c r="V19">
        <v>0.6</v>
      </c>
      <c r="W19">
        <v>1493</v>
      </c>
      <c r="X19" s="26" t="b">
        <f t="shared" si="0"/>
        <v>0</v>
      </c>
      <c r="Y19" s="26" t="b">
        <f t="shared" si="1"/>
        <v>0</v>
      </c>
      <c r="Z19" s="26" t="b">
        <f t="shared" si="2"/>
        <v>1</v>
      </c>
      <c r="AA19" s="26" t="b">
        <f t="shared" si="3"/>
        <v>1</v>
      </c>
      <c r="AB19" s="26" t="b">
        <f t="shared" si="4"/>
        <v>0</v>
      </c>
      <c r="AC19" s="26" t="b">
        <f t="shared" si="5"/>
        <v>0</v>
      </c>
      <c r="AD19" s="26" t="b">
        <f t="shared" si="6"/>
        <v>1</v>
      </c>
      <c r="AE19" s="26" t="b">
        <f t="shared" ca="1" si="7"/>
        <v>0</v>
      </c>
    </row>
    <row r="20" spans="1:31" x14ac:dyDescent="0.3">
      <c r="A20" t="s">
        <v>41</v>
      </c>
      <c r="B20">
        <v>18</v>
      </c>
      <c r="C20">
        <v>2</v>
      </c>
      <c r="D20">
        <v>3.3</v>
      </c>
      <c r="E20">
        <v>9.8000000000000007</v>
      </c>
      <c r="F20">
        <v>25014</v>
      </c>
      <c r="G20" t="s">
        <v>223</v>
      </c>
      <c r="H20">
        <v>744</v>
      </c>
      <c r="I20" t="s">
        <v>226</v>
      </c>
      <c r="J20" s="2">
        <v>45844</v>
      </c>
      <c r="K20" t="s">
        <v>224</v>
      </c>
      <c r="L20" t="s">
        <v>224</v>
      </c>
      <c r="M20" t="s">
        <v>227</v>
      </c>
      <c r="N20" s="2">
        <v>45867</v>
      </c>
      <c r="O20" t="s">
        <v>229</v>
      </c>
      <c r="P20" t="s">
        <v>224</v>
      </c>
      <c r="Q20" t="s">
        <v>223</v>
      </c>
      <c r="R20">
        <v>15288</v>
      </c>
      <c r="S20" t="s">
        <v>223</v>
      </c>
      <c r="T20" t="s">
        <v>232</v>
      </c>
      <c r="U20">
        <v>3.64</v>
      </c>
      <c r="V20">
        <v>0.3</v>
      </c>
      <c r="W20">
        <v>1180</v>
      </c>
      <c r="X20" s="26" t="b">
        <f t="shared" si="0"/>
        <v>0</v>
      </c>
      <c r="Y20" s="26" t="b">
        <f t="shared" si="1"/>
        <v>0</v>
      </c>
      <c r="Z20" s="26" t="b">
        <f t="shared" si="2"/>
        <v>0</v>
      </c>
      <c r="AA20" s="26" t="b">
        <f t="shared" si="3"/>
        <v>0</v>
      </c>
      <c r="AB20" s="26" t="b">
        <f t="shared" si="4"/>
        <v>0</v>
      </c>
      <c r="AC20" s="26" t="b">
        <f t="shared" si="5"/>
        <v>0</v>
      </c>
      <c r="AD20" s="26" t="b">
        <f t="shared" si="6"/>
        <v>0</v>
      </c>
      <c r="AE20" s="26" t="b">
        <f t="shared" ca="1" si="7"/>
        <v>1</v>
      </c>
    </row>
    <row r="21" spans="1:31" x14ac:dyDescent="0.3">
      <c r="A21" t="s">
        <v>42</v>
      </c>
      <c r="B21">
        <v>20</v>
      </c>
      <c r="C21">
        <v>9</v>
      </c>
      <c r="D21">
        <v>2.2999999999999998</v>
      </c>
      <c r="E21">
        <v>8.6</v>
      </c>
      <c r="F21">
        <v>59363</v>
      </c>
      <c r="G21" t="s">
        <v>224</v>
      </c>
      <c r="H21">
        <v>718</v>
      </c>
      <c r="I21" t="s">
        <v>226</v>
      </c>
      <c r="J21" s="2">
        <v>45865</v>
      </c>
      <c r="K21" t="s">
        <v>224</v>
      </c>
      <c r="L21" t="s">
        <v>223</v>
      </c>
      <c r="M21" t="s">
        <v>227</v>
      </c>
      <c r="N21" s="2">
        <v>45868</v>
      </c>
      <c r="O21" t="s">
        <v>230</v>
      </c>
      <c r="P21" t="s">
        <v>223</v>
      </c>
      <c r="Q21" t="s">
        <v>224</v>
      </c>
      <c r="R21">
        <v>14306</v>
      </c>
      <c r="S21" t="s">
        <v>223</v>
      </c>
      <c r="T21" t="s">
        <v>231</v>
      </c>
      <c r="U21">
        <v>2.87</v>
      </c>
      <c r="V21">
        <v>2.1</v>
      </c>
      <c r="W21">
        <v>1093</v>
      </c>
      <c r="X21" s="26" t="b">
        <f t="shared" si="0"/>
        <v>0</v>
      </c>
      <c r="Y21" s="26" t="b">
        <f t="shared" si="1"/>
        <v>0</v>
      </c>
      <c r="Z21" s="26" t="b">
        <f t="shared" si="2"/>
        <v>1</v>
      </c>
      <c r="AA21" s="26" t="b">
        <f t="shared" si="3"/>
        <v>1</v>
      </c>
      <c r="AB21" s="26" t="b">
        <f t="shared" si="4"/>
        <v>0</v>
      </c>
      <c r="AC21" s="26" t="b">
        <f t="shared" si="5"/>
        <v>0</v>
      </c>
      <c r="AD21" s="26" t="b">
        <f t="shared" si="6"/>
        <v>0</v>
      </c>
      <c r="AE21" s="26" t="b">
        <f t="shared" ca="1" si="7"/>
        <v>0</v>
      </c>
    </row>
    <row r="22" spans="1:31" x14ac:dyDescent="0.3">
      <c r="A22" t="s">
        <v>43</v>
      </c>
      <c r="B22">
        <v>29</v>
      </c>
      <c r="C22">
        <v>10</v>
      </c>
      <c r="D22">
        <v>2.2999999999999998</v>
      </c>
      <c r="E22">
        <v>4.7</v>
      </c>
      <c r="F22">
        <v>48010</v>
      </c>
      <c r="G22" t="s">
        <v>224</v>
      </c>
      <c r="H22">
        <v>473</v>
      </c>
      <c r="I22" t="s">
        <v>225</v>
      </c>
      <c r="J22" s="2">
        <v>45872</v>
      </c>
      <c r="K22" t="s">
        <v>224</v>
      </c>
      <c r="L22" t="s">
        <v>223</v>
      </c>
      <c r="M22" t="s">
        <v>227</v>
      </c>
      <c r="N22" s="2">
        <v>45864</v>
      </c>
      <c r="O22" t="s">
        <v>229</v>
      </c>
      <c r="P22" t="s">
        <v>223</v>
      </c>
      <c r="Q22" t="s">
        <v>223</v>
      </c>
      <c r="R22">
        <v>1800</v>
      </c>
      <c r="S22" t="s">
        <v>223</v>
      </c>
      <c r="T22" t="s">
        <v>232</v>
      </c>
      <c r="U22">
        <v>9.84</v>
      </c>
      <c r="V22">
        <v>3.1</v>
      </c>
      <c r="W22">
        <v>1286</v>
      </c>
      <c r="X22" s="26" t="b">
        <f t="shared" si="0"/>
        <v>0</v>
      </c>
      <c r="Y22" s="26" t="b">
        <f t="shared" si="1"/>
        <v>0</v>
      </c>
      <c r="Z22" s="26" t="b">
        <f t="shared" si="2"/>
        <v>0</v>
      </c>
      <c r="AA22" s="26" t="b">
        <f t="shared" si="3"/>
        <v>0</v>
      </c>
      <c r="AB22" s="26" t="b">
        <f t="shared" si="4"/>
        <v>1</v>
      </c>
      <c r="AC22" s="26" t="b">
        <f t="shared" si="5"/>
        <v>0</v>
      </c>
      <c r="AD22" s="26" t="b">
        <f t="shared" si="6"/>
        <v>0</v>
      </c>
      <c r="AE22" s="26" t="b">
        <f t="shared" ca="1" si="7"/>
        <v>0</v>
      </c>
    </row>
    <row r="23" spans="1:31" x14ac:dyDescent="0.3">
      <c r="A23" t="s">
        <v>44</v>
      </c>
      <c r="B23">
        <v>12</v>
      </c>
      <c r="C23">
        <v>7</v>
      </c>
      <c r="D23">
        <v>2.7</v>
      </c>
      <c r="E23">
        <v>6.5</v>
      </c>
      <c r="F23">
        <v>45485</v>
      </c>
      <c r="G23" t="s">
        <v>224</v>
      </c>
      <c r="H23">
        <v>806</v>
      </c>
      <c r="I23" t="s">
        <v>226</v>
      </c>
      <c r="J23" s="2">
        <v>45875</v>
      </c>
      <c r="K23" t="s">
        <v>223</v>
      </c>
      <c r="L23" t="s">
        <v>223</v>
      </c>
      <c r="M23" t="s">
        <v>227</v>
      </c>
      <c r="N23" s="2">
        <v>45868</v>
      </c>
      <c r="O23" t="s">
        <v>229</v>
      </c>
      <c r="P23" t="s">
        <v>223</v>
      </c>
      <c r="Q23" t="s">
        <v>224</v>
      </c>
      <c r="R23">
        <v>2645</v>
      </c>
      <c r="S23" t="s">
        <v>223</v>
      </c>
      <c r="T23" t="s">
        <v>232</v>
      </c>
      <c r="U23">
        <v>4.5599999999999996</v>
      </c>
      <c r="V23">
        <v>4</v>
      </c>
      <c r="W23">
        <v>1183</v>
      </c>
      <c r="X23" s="26" t="b">
        <f t="shared" si="0"/>
        <v>0</v>
      </c>
      <c r="Y23" s="26" t="b">
        <f t="shared" si="1"/>
        <v>0</v>
      </c>
      <c r="Z23" s="26" t="b">
        <f t="shared" si="2"/>
        <v>0</v>
      </c>
      <c r="AA23" s="26" t="b">
        <f t="shared" si="3"/>
        <v>1</v>
      </c>
      <c r="AB23" s="26" t="b">
        <f t="shared" si="4"/>
        <v>1</v>
      </c>
      <c r="AC23" s="26" t="b">
        <f t="shared" si="5"/>
        <v>0</v>
      </c>
      <c r="AD23" s="26" t="b">
        <f t="shared" si="6"/>
        <v>0</v>
      </c>
      <c r="AE23" s="26" t="b">
        <f t="shared" ca="1" si="7"/>
        <v>0</v>
      </c>
    </row>
    <row r="24" spans="1:31" x14ac:dyDescent="0.3">
      <c r="A24" t="s">
        <v>45</v>
      </c>
      <c r="B24">
        <v>26</v>
      </c>
      <c r="C24">
        <v>8</v>
      </c>
      <c r="D24">
        <v>3.4</v>
      </c>
      <c r="E24">
        <v>9.5</v>
      </c>
      <c r="F24">
        <v>78008</v>
      </c>
      <c r="G24" t="s">
        <v>224</v>
      </c>
      <c r="H24">
        <v>756</v>
      </c>
      <c r="I24" t="s">
        <v>225</v>
      </c>
      <c r="J24" s="2">
        <v>45843</v>
      </c>
      <c r="K24" t="s">
        <v>224</v>
      </c>
      <c r="L24" t="s">
        <v>224</v>
      </c>
      <c r="M24" t="s">
        <v>228</v>
      </c>
      <c r="N24" s="2">
        <v>45862</v>
      </c>
      <c r="O24" t="s">
        <v>230</v>
      </c>
      <c r="P24" t="s">
        <v>224</v>
      </c>
      <c r="Q24" t="s">
        <v>223</v>
      </c>
      <c r="R24">
        <v>9998</v>
      </c>
      <c r="S24" t="s">
        <v>224</v>
      </c>
      <c r="T24" t="s">
        <v>232</v>
      </c>
      <c r="U24">
        <v>7.14</v>
      </c>
      <c r="V24">
        <v>1.2</v>
      </c>
      <c r="W24">
        <v>843</v>
      </c>
      <c r="X24" s="26" t="b">
        <f t="shared" si="0"/>
        <v>0</v>
      </c>
      <c r="Y24" s="26" t="b">
        <f t="shared" si="1"/>
        <v>0</v>
      </c>
      <c r="Z24" s="26" t="b">
        <f t="shared" si="2"/>
        <v>1</v>
      </c>
      <c r="AA24" s="26" t="b">
        <f t="shared" si="3"/>
        <v>0</v>
      </c>
      <c r="AB24" s="26" t="b">
        <f t="shared" si="4"/>
        <v>1</v>
      </c>
      <c r="AC24" s="26" t="b">
        <f t="shared" si="5"/>
        <v>1</v>
      </c>
      <c r="AD24" s="26" t="b">
        <f t="shared" si="6"/>
        <v>0</v>
      </c>
      <c r="AE24" s="26" t="b">
        <f t="shared" ca="1" si="7"/>
        <v>1</v>
      </c>
    </row>
    <row r="25" spans="1:31" x14ac:dyDescent="0.3">
      <c r="A25" t="s">
        <v>46</v>
      </c>
      <c r="B25">
        <v>20</v>
      </c>
      <c r="C25">
        <v>8</v>
      </c>
      <c r="D25">
        <v>1.3</v>
      </c>
      <c r="E25">
        <v>1.9</v>
      </c>
      <c r="F25">
        <v>70205</v>
      </c>
      <c r="G25" t="s">
        <v>223</v>
      </c>
      <c r="H25">
        <v>519</v>
      </c>
      <c r="I25" t="s">
        <v>225</v>
      </c>
      <c r="J25" s="2">
        <v>45864</v>
      </c>
      <c r="K25" t="s">
        <v>224</v>
      </c>
      <c r="L25" t="s">
        <v>224</v>
      </c>
      <c r="M25" t="s">
        <v>228</v>
      </c>
      <c r="N25" s="2">
        <v>45868</v>
      </c>
      <c r="O25" t="s">
        <v>229</v>
      </c>
      <c r="P25" t="s">
        <v>223</v>
      </c>
      <c r="Q25" t="s">
        <v>224</v>
      </c>
      <c r="R25">
        <v>13762</v>
      </c>
      <c r="S25" t="s">
        <v>223</v>
      </c>
      <c r="T25" t="s">
        <v>231</v>
      </c>
      <c r="U25">
        <v>4.7699999999999996</v>
      </c>
      <c r="V25">
        <v>4.7</v>
      </c>
      <c r="W25">
        <v>805</v>
      </c>
      <c r="X25" s="26" t="b">
        <f t="shared" si="0"/>
        <v>0</v>
      </c>
      <c r="Y25" s="26" t="b">
        <f t="shared" si="1"/>
        <v>0</v>
      </c>
      <c r="Z25" s="26" t="b">
        <f t="shared" si="2"/>
        <v>0</v>
      </c>
      <c r="AA25" s="26" t="b">
        <f t="shared" si="3"/>
        <v>1</v>
      </c>
      <c r="AB25" s="26" t="b">
        <f t="shared" si="4"/>
        <v>0</v>
      </c>
      <c r="AC25" s="26" t="b">
        <f t="shared" si="5"/>
        <v>1</v>
      </c>
      <c r="AD25" s="26" t="b">
        <f t="shared" si="6"/>
        <v>1</v>
      </c>
      <c r="AE25" s="26" t="b">
        <f t="shared" ca="1" si="7"/>
        <v>0</v>
      </c>
    </row>
    <row r="26" spans="1:31" x14ac:dyDescent="0.3">
      <c r="A26" t="s">
        <v>47</v>
      </c>
      <c r="B26">
        <v>22</v>
      </c>
      <c r="C26">
        <v>6</v>
      </c>
      <c r="D26">
        <v>3.2</v>
      </c>
      <c r="E26">
        <v>7.5</v>
      </c>
      <c r="F26">
        <v>99069</v>
      </c>
      <c r="G26" t="s">
        <v>223</v>
      </c>
      <c r="H26">
        <v>799</v>
      </c>
      <c r="I26" t="s">
        <v>225</v>
      </c>
      <c r="J26" s="2">
        <v>45873</v>
      </c>
      <c r="K26" t="s">
        <v>224</v>
      </c>
      <c r="L26" t="s">
        <v>224</v>
      </c>
      <c r="M26" t="s">
        <v>227</v>
      </c>
      <c r="N26" s="2">
        <v>45867</v>
      </c>
      <c r="O26" t="s">
        <v>230</v>
      </c>
      <c r="P26" t="s">
        <v>224</v>
      </c>
      <c r="Q26" t="s">
        <v>223</v>
      </c>
      <c r="R26">
        <v>16315</v>
      </c>
      <c r="S26" t="s">
        <v>223</v>
      </c>
      <c r="T26" t="s">
        <v>232</v>
      </c>
      <c r="U26">
        <v>9.07</v>
      </c>
      <c r="V26">
        <v>3</v>
      </c>
      <c r="W26">
        <v>1178</v>
      </c>
      <c r="X26" s="26" t="b">
        <f t="shared" si="0"/>
        <v>0</v>
      </c>
      <c r="Y26" s="26" t="b">
        <f t="shared" si="1"/>
        <v>0</v>
      </c>
      <c r="Z26" s="26" t="b">
        <f t="shared" si="2"/>
        <v>1</v>
      </c>
      <c r="AA26" s="26" t="b">
        <f t="shared" si="3"/>
        <v>0</v>
      </c>
      <c r="AB26" s="26" t="b">
        <f t="shared" si="4"/>
        <v>0</v>
      </c>
      <c r="AC26" s="26" t="b">
        <f t="shared" si="5"/>
        <v>0</v>
      </c>
      <c r="AD26" s="26" t="b">
        <f t="shared" si="6"/>
        <v>0</v>
      </c>
      <c r="AE26" s="26" t="b">
        <f t="shared" ca="1" si="7"/>
        <v>1</v>
      </c>
    </row>
    <row r="27" spans="1:31" x14ac:dyDescent="0.3">
      <c r="A27" t="s">
        <v>48</v>
      </c>
      <c r="B27">
        <v>10</v>
      </c>
      <c r="C27">
        <v>1</v>
      </c>
      <c r="D27">
        <v>3.6</v>
      </c>
      <c r="E27">
        <v>1.8</v>
      </c>
      <c r="F27">
        <v>80515</v>
      </c>
      <c r="G27" t="s">
        <v>223</v>
      </c>
      <c r="H27">
        <v>351</v>
      </c>
      <c r="I27" t="s">
        <v>226</v>
      </c>
      <c r="J27" s="2">
        <v>45866</v>
      </c>
      <c r="K27" t="s">
        <v>224</v>
      </c>
      <c r="L27" t="s">
        <v>223</v>
      </c>
      <c r="M27" t="s">
        <v>228</v>
      </c>
      <c r="N27" s="2">
        <v>45865</v>
      </c>
      <c r="O27" t="s">
        <v>230</v>
      </c>
      <c r="P27" t="s">
        <v>224</v>
      </c>
      <c r="Q27" t="s">
        <v>224</v>
      </c>
      <c r="R27">
        <v>14813</v>
      </c>
      <c r="S27" t="s">
        <v>224</v>
      </c>
      <c r="T27" t="s">
        <v>232</v>
      </c>
      <c r="U27">
        <v>4.7</v>
      </c>
      <c r="V27">
        <v>3.7</v>
      </c>
      <c r="W27">
        <v>553</v>
      </c>
      <c r="X27" s="26" t="b">
        <f t="shared" si="0"/>
        <v>0</v>
      </c>
      <c r="Y27" s="26" t="b">
        <f t="shared" si="1"/>
        <v>0</v>
      </c>
      <c r="Z27" s="26" t="b">
        <f t="shared" si="2"/>
        <v>0</v>
      </c>
      <c r="AA27" s="26" t="b">
        <f t="shared" si="3"/>
        <v>0</v>
      </c>
      <c r="AB27" s="26" t="b">
        <f t="shared" si="4"/>
        <v>0</v>
      </c>
      <c r="AC27" s="26" t="b">
        <f t="shared" si="5"/>
        <v>1</v>
      </c>
      <c r="AD27" s="26" t="b">
        <f t="shared" si="6"/>
        <v>0</v>
      </c>
      <c r="AE27" s="26" t="b">
        <f t="shared" ca="1" si="7"/>
        <v>0</v>
      </c>
    </row>
    <row r="28" spans="1:31" x14ac:dyDescent="0.3">
      <c r="A28" t="s">
        <v>49</v>
      </c>
      <c r="B28">
        <v>21</v>
      </c>
      <c r="C28">
        <v>3</v>
      </c>
      <c r="D28">
        <v>3.6</v>
      </c>
      <c r="E28">
        <v>7.9</v>
      </c>
      <c r="F28">
        <v>25276</v>
      </c>
      <c r="G28" t="s">
        <v>223</v>
      </c>
      <c r="H28">
        <v>553</v>
      </c>
      <c r="I28" t="s">
        <v>225</v>
      </c>
      <c r="J28" s="2">
        <v>45837</v>
      </c>
      <c r="K28" t="s">
        <v>223</v>
      </c>
      <c r="L28" t="s">
        <v>223</v>
      </c>
      <c r="M28" t="s">
        <v>227</v>
      </c>
      <c r="N28" s="2">
        <v>45859</v>
      </c>
      <c r="O28" t="s">
        <v>230</v>
      </c>
      <c r="P28" t="s">
        <v>223</v>
      </c>
      <c r="Q28" t="s">
        <v>223</v>
      </c>
      <c r="R28">
        <v>16238</v>
      </c>
      <c r="S28" t="s">
        <v>224</v>
      </c>
      <c r="T28" t="s">
        <v>231</v>
      </c>
      <c r="U28">
        <v>1.68</v>
      </c>
      <c r="V28">
        <v>3</v>
      </c>
      <c r="W28">
        <v>1265</v>
      </c>
      <c r="X28" s="26" t="b">
        <f t="shared" si="0"/>
        <v>0</v>
      </c>
      <c r="Y28" s="26" t="b">
        <f t="shared" si="1"/>
        <v>0</v>
      </c>
      <c r="Z28" s="26" t="b">
        <f t="shared" si="2"/>
        <v>0</v>
      </c>
      <c r="AA28" s="26" t="b">
        <f t="shared" si="3"/>
        <v>0</v>
      </c>
      <c r="AB28" s="26" t="b">
        <f t="shared" si="4"/>
        <v>0</v>
      </c>
      <c r="AC28" s="26" t="b">
        <f t="shared" si="5"/>
        <v>0</v>
      </c>
      <c r="AD28" s="26" t="b">
        <f t="shared" si="6"/>
        <v>0</v>
      </c>
      <c r="AE28" s="26" t="b">
        <f t="shared" ca="1" si="7"/>
        <v>1</v>
      </c>
    </row>
    <row r="29" spans="1:31" x14ac:dyDescent="0.3">
      <c r="A29" t="s">
        <v>50</v>
      </c>
      <c r="B29">
        <v>13</v>
      </c>
      <c r="C29">
        <v>2</v>
      </c>
      <c r="D29">
        <v>4.9000000000000004</v>
      </c>
      <c r="E29">
        <v>1.5</v>
      </c>
      <c r="F29">
        <v>23365</v>
      </c>
      <c r="G29" t="s">
        <v>224</v>
      </c>
      <c r="H29">
        <v>684</v>
      </c>
      <c r="I29" t="s">
        <v>226</v>
      </c>
      <c r="J29" s="2">
        <v>45830</v>
      </c>
      <c r="K29" t="s">
        <v>223</v>
      </c>
      <c r="L29" t="s">
        <v>223</v>
      </c>
      <c r="M29" t="s">
        <v>227</v>
      </c>
      <c r="N29" s="2">
        <v>45858</v>
      </c>
      <c r="O29" t="s">
        <v>230</v>
      </c>
      <c r="P29" t="s">
        <v>223</v>
      </c>
      <c r="Q29" t="s">
        <v>223</v>
      </c>
      <c r="R29">
        <v>12377</v>
      </c>
      <c r="S29" t="s">
        <v>224</v>
      </c>
      <c r="T29" t="s">
        <v>231</v>
      </c>
      <c r="U29">
        <v>0.69</v>
      </c>
      <c r="V29">
        <v>3.2</v>
      </c>
      <c r="W29">
        <v>512</v>
      </c>
      <c r="X29" s="26" t="b">
        <f t="shared" si="0"/>
        <v>0</v>
      </c>
      <c r="Y29" s="26" t="b">
        <f t="shared" si="1"/>
        <v>0</v>
      </c>
      <c r="Z29" s="26" t="b">
        <f t="shared" si="2"/>
        <v>0</v>
      </c>
      <c r="AA29" s="26" t="b">
        <f t="shared" si="3"/>
        <v>0</v>
      </c>
      <c r="AB29" s="26" t="b">
        <f t="shared" si="4"/>
        <v>0</v>
      </c>
      <c r="AC29" s="26" t="b">
        <f t="shared" si="5"/>
        <v>1</v>
      </c>
      <c r="AD29" s="26" t="b">
        <f t="shared" si="6"/>
        <v>0</v>
      </c>
      <c r="AE29" s="26" t="b">
        <f t="shared" ca="1" si="7"/>
        <v>1</v>
      </c>
    </row>
    <row r="30" spans="1:31" x14ac:dyDescent="0.3">
      <c r="A30" t="s">
        <v>51</v>
      </c>
      <c r="B30">
        <v>23</v>
      </c>
      <c r="C30">
        <v>7</v>
      </c>
      <c r="D30">
        <v>1.4</v>
      </c>
      <c r="E30">
        <v>9.6</v>
      </c>
      <c r="F30">
        <v>80258</v>
      </c>
      <c r="G30" t="s">
        <v>223</v>
      </c>
      <c r="H30">
        <v>745</v>
      </c>
      <c r="I30" t="s">
        <v>225</v>
      </c>
      <c r="J30" s="2">
        <v>45844</v>
      </c>
      <c r="K30" t="s">
        <v>224</v>
      </c>
      <c r="L30" t="s">
        <v>224</v>
      </c>
      <c r="M30" t="s">
        <v>228</v>
      </c>
      <c r="N30" s="2">
        <v>45868</v>
      </c>
      <c r="O30" t="s">
        <v>230</v>
      </c>
      <c r="P30" t="s">
        <v>224</v>
      </c>
      <c r="Q30" t="s">
        <v>223</v>
      </c>
      <c r="R30">
        <v>3839</v>
      </c>
      <c r="S30" t="s">
        <v>224</v>
      </c>
      <c r="T30" t="s">
        <v>231</v>
      </c>
      <c r="U30">
        <v>2.44</v>
      </c>
      <c r="V30">
        <v>2.2999999999999998</v>
      </c>
      <c r="W30">
        <v>1124</v>
      </c>
      <c r="X30" s="26" t="b">
        <f t="shared" si="0"/>
        <v>0</v>
      </c>
      <c r="Y30" s="26" t="b">
        <f t="shared" si="1"/>
        <v>0</v>
      </c>
      <c r="Z30" s="26" t="b">
        <f t="shared" si="2"/>
        <v>0</v>
      </c>
      <c r="AA30" s="26" t="b">
        <f t="shared" si="3"/>
        <v>0</v>
      </c>
      <c r="AB30" s="26" t="b">
        <f t="shared" si="4"/>
        <v>0</v>
      </c>
      <c r="AC30" s="26" t="b">
        <f t="shared" si="5"/>
        <v>0</v>
      </c>
      <c r="AD30" s="26" t="b">
        <f t="shared" si="6"/>
        <v>1</v>
      </c>
      <c r="AE30" s="26" t="b">
        <f t="shared" ca="1" si="7"/>
        <v>0</v>
      </c>
    </row>
    <row r="31" spans="1:31" x14ac:dyDescent="0.3">
      <c r="A31" t="s">
        <v>52</v>
      </c>
      <c r="B31">
        <v>31</v>
      </c>
      <c r="C31">
        <v>6</v>
      </c>
      <c r="D31">
        <v>2.2999999999999998</v>
      </c>
      <c r="E31">
        <v>5.2</v>
      </c>
      <c r="F31">
        <v>62600</v>
      </c>
      <c r="G31" t="s">
        <v>223</v>
      </c>
      <c r="H31">
        <v>799</v>
      </c>
      <c r="I31" t="s">
        <v>225</v>
      </c>
      <c r="J31" s="2">
        <v>45868</v>
      </c>
      <c r="K31" t="s">
        <v>224</v>
      </c>
      <c r="L31" t="s">
        <v>224</v>
      </c>
      <c r="M31" t="s">
        <v>228</v>
      </c>
      <c r="N31" s="2">
        <v>45863</v>
      </c>
      <c r="O31" t="s">
        <v>229</v>
      </c>
      <c r="P31" t="s">
        <v>223</v>
      </c>
      <c r="Q31" t="s">
        <v>223</v>
      </c>
      <c r="R31">
        <v>8908</v>
      </c>
      <c r="S31" t="s">
        <v>224</v>
      </c>
      <c r="T31" t="s">
        <v>231</v>
      </c>
      <c r="U31">
        <v>5.55</v>
      </c>
      <c r="V31">
        <v>1.2</v>
      </c>
      <c r="W31">
        <v>987</v>
      </c>
      <c r="X31" s="26" t="b">
        <f t="shared" si="0"/>
        <v>0</v>
      </c>
      <c r="Y31" s="26" t="b">
        <f t="shared" si="1"/>
        <v>0</v>
      </c>
      <c r="Z31" s="26" t="b">
        <f t="shared" si="2"/>
        <v>1</v>
      </c>
      <c r="AA31" s="26" t="b">
        <f t="shared" si="3"/>
        <v>0</v>
      </c>
      <c r="AB31" s="26" t="b">
        <f t="shared" si="4"/>
        <v>0</v>
      </c>
      <c r="AC31" s="26" t="b">
        <f t="shared" si="5"/>
        <v>1</v>
      </c>
      <c r="AD31" s="26" t="b">
        <f t="shared" si="6"/>
        <v>0</v>
      </c>
      <c r="AE31" s="26" t="b">
        <f t="shared" ca="1" si="7"/>
        <v>0</v>
      </c>
    </row>
    <row r="32" spans="1:31" x14ac:dyDescent="0.3">
      <c r="A32" t="s">
        <v>53</v>
      </c>
      <c r="B32">
        <v>30</v>
      </c>
      <c r="C32">
        <v>7</v>
      </c>
      <c r="D32">
        <v>2.8</v>
      </c>
      <c r="E32">
        <v>0.7</v>
      </c>
      <c r="F32">
        <v>58566</v>
      </c>
      <c r="G32" t="s">
        <v>223</v>
      </c>
      <c r="H32">
        <v>714</v>
      </c>
      <c r="I32" t="s">
        <v>225</v>
      </c>
      <c r="J32" s="2">
        <v>45871</v>
      </c>
      <c r="K32" t="s">
        <v>224</v>
      </c>
      <c r="L32" t="s">
        <v>224</v>
      </c>
      <c r="M32" t="s">
        <v>228</v>
      </c>
      <c r="N32" s="2">
        <v>45868</v>
      </c>
      <c r="O32" t="s">
        <v>230</v>
      </c>
      <c r="P32" t="s">
        <v>224</v>
      </c>
      <c r="Q32" t="s">
        <v>224</v>
      </c>
      <c r="R32">
        <v>9877</v>
      </c>
      <c r="S32" t="s">
        <v>224</v>
      </c>
      <c r="T32" t="s">
        <v>231</v>
      </c>
      <c r="U32">
        <v>2.31</v>
      </c>
      <c r="V32">
        <v>3.6</v>
      </c>
      <c r="W32">
        <v>823</v>
      </c>
      <c r="X32" s="26" t="b">
        <f t="shared" si="0"/>
        <v>0</v>
      </c>
      <c r="Y32" s="26" t="b">
        <f t="shared" si="1"/>
        <v>0</v>
      </c>
      <c r="Z32" s="26" t="b">
        <f t="shared" si="2"/>
        <v>0</v>
      </c>
      <c r="AA32" s="26" t="b">
        <f t="shared" si="3"/>
        <v>0</v>
      </c>
      <c r="AB32" s="26" t="b">
        <f t="shared" si="4"/>
        <v>0</v>
      </c>
      <c r="AC32" s="26" t="b">
        <f t="shared" si="5"/>
        <v>1</v>
      </c>
      <c r="AD32" s="26" t="b">
        <f t="shared" si="6"/>
        <v>1</v>
      </c>
      <c r="AE32" s="26" t="b">
        <f t="shared" ca="1" si="7"/>
        <v>0</v>
      </c>
    </row>
    <row r="33" spans="1:31" x14ac:dyDescent="0.3">
      <c r="A33" t="s">
        <v>54</v>
      </c>
      <c r="B33">
        <v>13</v>
      </c>
      <c r="C33">
        <v>8</v>
      </c>
      <c r="D33">
        <v>4.8</v>
      </c>
      <c r="E33">
        <v>7.1</v>
      </c>
      <c r="F33">
        <v>45105</v>
      </c>
      <c r="G33" t="s">
        <v>223</v>
      </c>
      <c r="H33">
        <v>795</v>
      </c>
      <c r="I33" t="s">
        <v>226</v>
      </c>
      <c r="J33" s="2">
        <v>45844</v>
      </c>
      <c r="K33" t="s">
        <v>224</v>
      </c>
      <c r="L33" t="s">
        <v>223</v>
      </c>
      <c r="M33" t="s">
        <v>227</v>
      </c>
      <c r="N33" s="2">
        <v>45864</v>
      </c>
      <c r="O33" t="s">
        <v>229</v>
      </c>
      <c r="P33" t="s">
        <v>224</v>
      </c>
      <c r="Q33" t="s">
        <v>223</v>
      </c>
      <c r="R33">
        <v>10904</v>
      </c>
      <c r="S33" t="s">
        <v>223</v>
      </c>
      <c r="T33" t="s">
        <v>232</v>
      </c>
      <c r="U33">
        <v>2.74</v>
      </c>
      <c r="V33">
        <v>4.9000000000000004</v>
      </c>
      <c r="W33">
        <v>1066</v>
      </c>
      <c r="X33" s="26" t="b">
        <f t="shared" si="0"/>
        <v>0</v>
      </c>
      <c r="Y33" s="26" t="b">
        <f t="shared" si="1"/>
        <v>1</v>
      </c>
      <c r="Z33" s="26" t="b">
        <f t="shared" si="2"/>
        <v>0</v>
      </c>
      <c r="AA33" s="26" t="b">
        <f t="shared" si="3"/>
        <v>0</v>
      </c>
      <c r="AB33" s="26" t="b">
        <f t="shared" si="4"/>
        <v>0</v>
      </c>
      <c r="AC33" s="26" t="b">
        <f t="shared" si="5"/>
        <v>0</v>
      </c>
      <c r="AD33" s="26" t="b">
        <f t="shared" si="6"/>
        <v>0</v>
      </c>
      <c r="AE33" s="26" t="b">
        <f t="shared" ca="1" si="7"/>
        <v>0</v>
      </c>
    </row>
    <row r="34" spans="1:31" x14ac:dyDescent="0.3">
      <c r="A34" t="s">
        <v>55</v>
      </c>
      <c r="B34">
        <v>19</v>
      </c>
      <c r="C34">
        <v>2</v>
      </c>
      <c r="D34">
        <v>3.6</v>
      </c>
      <c r="E34">
        <v>7.7</v>
      </c>
      <c r="F34">
        <v>33446</v>
      </c>
      <c r="G34" t="s">
        <v>223</v>
      </c>
      <c r="H34">
        <v>591</v>
      </c>
      <c r="I34" t="s">
        <v>226</v>
      </c>
      <c r="J34" s="2">
        <v>45860</v>
      </c>
      <c r="K34" t="s">
        <v>224</v>
      </c>
      <c r="L34" t="s">
        <v>224</v>
      </c>
      <c r="M34" t="s">
        <v>227</v>
      </c>
      <c r="N34" s="2">
        <v>45856</v>
      </c>
      <c r="O34" t="s">
        <v>230</v>
      </c>
      <c r="P34" t="s">
        <v>224</v>
      </c>
      <c r="Q34" t="s">
        <v>223</v>
      </c>
      <c r="R34">
        <v>3141</v>
      </c>
      <c r="S34" t="s">
        <v>224</v>
      </c>
      <c r="T34" t="s">
        <v>231</v>
      </c>
      <c r="U34">
        <v>0.74</v>
      </c>
      <c r="V34">
        <v>3.1</v>
      </c>
      <c r="W34">
        <v>554</v>
      </c>
      <c r="X34" s="26" t="b">
        <f t="shared" si="0"/>
        <v>0</v>
      </c>
      <c r="Y34" s="26" t="b">
        <f t="shared" si="1"/>
        <v>0</v>
      </c>
      <c r="Z34" s="26" t="b">
        <f t="shared" si="2"/>
        <v>0</v>
      </c>
      <c r="AA34" s="26" t="b">
        <f t="shared" si="3"/>
        <v>0</v>
      </c>
      <c r="AB34" s="26" t="b">
        <f t="shared" si="4"/>
        <v>0</v>
      </c>
      <c r="AC34" s="26" t="b">
        <f t="shared" si="5"/>
        <v>1</v>
      </c>
      <c r="AD34" s="26" t="b">
        <f t="shared" si="6"/>
        <v>0</v>
      </c>
      <c r="AE34" s="26" t="b">
        <f t="shared" ca="1" si="7"/>
        <v>1</v>
      </c>
    </row>
    <row r="35" spans="1:31" x14ac:dyDescent="0.3">
      <c r="A35" t="s">
        <v>56</v>
      </c>
      <c r="B35">
        <v>14</v>
      </c>
      <c r="C35">
        <v>2</v>
      </c>
      <c r="D35">
        <v>4.2</v>
      </c>
      <c r="E35">
        <v>9.5</v>
      </c>
      <c r="F35">
        <v>31164</v>
      </c>
      <c r="G35" t="s">
        <v>223</v>
      </c>
      <c r="H35">
        <v>421</v>
      </c>
      <c r="I35" t="s">
        <v>226</v>
      </c>
      <c r="J35" s="2">
        <v>45852</v>
      </c>
      <c r="K35" t="s">
        <v>223</v>
      </c>
      <c r="L35" t="s">
        <v>224</v>
      </c>
      <c r="M35" t="s">
        <v>228</v>
      </c>
      <c r="N35" s="2">
        <v>45869</v>
      </c>
      <c r="O35" t="s">
        <v>230</v>
      </c>
      <c r="P35" t="s">
        <v>224</v>
      </c>
      <c r="Q35" t="s">
        <v>224</v>
      </c>
      <c r="R35">
        <v>19632</v>
      </c>
      <c r="S35" t="s">
        <v>223</v>
      </c>
      <c r="T35" t="s">
        <v>232</v>
      </c>
      <c r="U35">
        <v>9.48</v>
      </c>
      <c r="V35">
        <v>1</v>
      </c>
      <c r="W35">
        <v>716</v>
      </c>
      <c r="X35" s="26" t="b">
        <f t="shared" si="0"/>
        <v>0</v>
      </c>
      <c r="Y35" s="26" t="b">
        <f t="shared" si="1"/>
        <v>1</v>
      </c>
      <c r="Z35" s="26" t="b">
        <f t="shared" si="2"/>
        <v>0</v>
      </c>
      <c r="AA35" s="26" t="b">
        <f t="shared" si="3"/>
        <v>0</v>
      </c>
      <c r="AB35" s="26" t="b">
        <f t="shared" si="4"/>
        <v>0</v>
      </c>
      <c r="AC35" s="26" t="b">
        <f t="shared" si="5"/>
        <v>1</v>
      </c>
      <c r="AD35" s="26" t="b">
        <f t="shared" si="6"/>
        <v>0</v>
      </c>
      <c r="AE35" s="26" t="b">
        <f t="shared" ca="1" si="7"/>
        <v>0</v>
      </c>
    </row>
    <row r="36" spans="1:31" x14ac:dyDescent="0.3">
      <c r="A36" t="s">
        <v>57</v>
      </c>
      <c r="B36">
        <v>18</v>
      </c>
      <c r="C36">
        <v>10</v>
      </c>
      <c r="D36">
        <v>1.3</v>
      </c>
      <c r="E36">
        <v>2.8</v>
      </c>
      <c r="F36">
        <v>92350</v>
      </c>
      <c r="G36" t="s">
        <v>223</v>
      </c>
      <c r="H36">
        <v>460</v>
      </c>
      <c r="I36" t="s">
        <v>225</v>
      </c>
      <c r="J36" s="2">
        <v>45864</v>
      </c>
      <c r="K36" t="s">
        <v>224</v>
      </c>
      <c r="L36" t="s">
        <v>224</v>
      </c>
      <c r="M36" t="s">
        <v>228</v>
      </c>
      <c r="N36" s="2">
        <v>45856</v>
      </c>
      <c r="O36" t="s">
        <v>229</v>
      </c>
      <c r="P36" t="s">
        <v>224</v>
      </c>
      <c r="Q36" t="s">
        <v>224</v>
      </c>
      <c r="R36">
        <v>15877</v>
      </c>
      <c r="S36" t="s">
        <v>223</v>
      </c>
      <c r="T36" t="s">
        <v>232</v>
      </c>
      <c r="U36">
        <v>9.24</v>
      </c>
      <c r="V36">
        <v>3.9</v>
      </c>
      <c r="W36">
        <v>1140</v>
      </c>
      <c r="X36" s="26" t="b">
        <f t="shared" si="0"/>
        <v>0</v>
      </c>
      <c r="Y36" s="26" t="b">
        <f t="shared" si="1"/>
        <v>0</v>
      </c>
      <c r="Z36" s="26" t="b">
        <f t="shared" si="2"/>
        <v>0</v>
      </c>
      <c r="AA36" s="26" t="b">
        <f t="shared" si="3"/>
        <v>1</v>
      </c>
      <c r="AB36" s="26" t="b">
        <f t="shared" si="4"/>
        <v>0</v>
      </c>
      <c r="AC36" s="26" t="b">
        <f t="shared" si="5"/>
        <v>0</v>
      </c>
      <c r="AD36" s="26" t="b">
        <f t="shared" si="6"/>
        <v>1</v>
      </c>
      <c r="AE36" s="26" t="b">
        <f t="shared" ca="1" si="7"/>
        <v>1</v>
      </c>
    </row>
    <row r="37" spans="1:31" x14ac:dyDescent="0.3">
      <c r="A37" t="s">
        <v>58</v>
      </c>
      <c r="B37">
        <v>28</v>
      </c>
      <c r="C37">
        <v>10</v>
      </c>
      <c r="D37">
        <v>4.2</v>
      </c>
      <c r="E37">
        <v>2.4</v>
      </c>
      <c r="F37">
        <v>35043</v>
      </c>
      <c r="G37" t="s">
        <v>223</v>
      </c>
      <c r="H37">
        <v>452</v>
      </c>
      <c r="I37" t="s">
        <v>226</v>
      </c>
      <c r="J37" s="2">
        <v>45838</v>
      </c>
      <c r="K37" t="s">
        <v>223</v>
      </c>
      <c r="L37" t="s">
        <v>223</v>
      </c>
      <c r="M37" t="s">
        <v>227</v>
      </c>
      <c r="N37" s="2">
        <v>45860</v>
      </c>
      <c r="O37" t="s">
        <v>230</v>
      </c>
      <c r="P37" t="s">
        <v>224</v>
      </c>
      <c r="Q37" t="s">
        <v>224</v>
      </c>
      <c r="R37">
        <v>5074</v>
      </c>
      <c r="S37" t="s">
        <v>224</v>
      </c>
      <c r="T37" t="s">
        <v>231</v>
      </c>
      <c r="U37">
        <v>7</v>
      </c>
      <c r="V37">
        <v>4.7</v>
      </c>
      <c r="W37">
        <v>1012</v>
      </c>
      <c r="X37" s="26" t="b">
        <f t="shared" si="0"/>
        <v>0</v>
      </c>
      <c r="Y37" s="26" t="b">
        <f t="shared" si="1"/>
        <v>1</v>
      </c>
      <c r="Z37" s="26" t="b">
        <f t="shared" si="2"/>
        <v>0</v>
      </c>
      <c r="AA37" s="26" t="b">
        <f t="shared" si="3"/>
        <v>0</v>
      </c>
      <c r="AB37" s="26" t="b">
        <f t="shared" si="4"/>
        <v>0</v>
      </c>
      <c r="AC37" s="26" t="b">
        <f t="shared" si="5"/>
        <v>0</v>
      </c>
      <c r="AD37" s="26" t="b">
        <f t="shared" si="6"/>
        <v>0</v>
      </c>
      <c r="AE37" s="26" t="b">
        <f t="shared" ca="1" si="7"/>
        <v>1</v>
      </c>
    </row>
    <row r="38" spans="1:31" x14ac:dyDescent="0.3">
      <c r="A38" t="s">
        <v>59</v>
      </c>
      <c r="B38">
        <v>27</v>
      </c>
      <c r="C38">
        <v>7</v>
      </c>
      <c r="D38">
        <v>2.8</v>
      </c>
      <c r="E38">
        <v>6.2</v>
      </c>
      <c r="F38">
        <v>76626</v>
      </c>
      <c r="G38" t="s">
        <v>224</v>
      </c>
      <c r="H38">
        <v>556</v>
      </c>
      <c r="I38" t="s">
        <v>225</v>
      </c>
      <c r="J38" s="2">
        <v>45885</v>
      </c>
      <c r="K38" t="s">
        <v>223</v>
      </c>
      <c r="L38" t="s">
        <v>223</v>
      </c>
      <c r="M38" t="s">
        <v>228</v>
      </c>
      <c r="N38" s="2">
        <v>45856</v>
      </c>
      <c r="O38" t="s">
        <v>229</v>
      </c>
      <c r="P38" t="s">
        <v>224</v>
      </c>
      <c r="Q38" t="s">
        <v>224</v>
      </c>
      <c r="R38">
        <v>10114</v>
      </c>
      <c r="S38" t="s">
        <v>223</v>
      </c>
      <c r="T38" t="s">
        <v>231</v>
      </c>
      <c r="U38">
        <v>6.35</v>
      </c>
      <c r="V38">
        <v>2.5</v>
      </c>
      <c r="W38">
        <v>593</v>
      </c>
      <c r="X38" s="26" t="b">
        <f t="shared" si="0"/>
        <v>0</v>
      </c>
      <c r="Y38" s="26" t="b">
        <f t="shared" si="1"/>
        <v>0</v>
      </c>
      <c r="Z38" s="26" t="b">
        <f t="shared" si="2"/>
        <v>1</v>
      </c>
      <c r="AA38" s="26" t="b">
        <f t="shared" si="3"/>
        <v>1</v>
      </c>
      <c r="AB38" s="26" t="b">
        <f t="shared" si="4"/>
        <v>0</v>
      </c>
      <c r="AC38" s="26" t="b">
        <f t="shared" si="5"/>
        <v>1</v>
      </c>
      <c r="AD38" s="26" t="b">
        <f t="shared" si="6"/>
        <v>0</v>
      </c>
      <c r="AE38" s="26" t="b">
        <f t="shared" ca="1" si="7"/>
        <v>1</v>
      </c>
    </row>
    <row r="39" spans="1:31" x14ac:dyDescent="0.3">
      <c r="A39" t="s">
        <v>60</v>
      </c>
      <c r="B39">
        <v>25</v>
      </c>
      <c r="C39">
        <v>5</v>
      </c>
      <c r="D39">
        <v>2.6</v>
      </c>
      <c r="E39">
        <v>3.6</v>
      </c>
      <c r="F39">
        <v>33710</v>
      </c>
      <c r="G39" t="s">
        <v>223</v>
      </c>
      <c r="H39">
        <v>637</v>
      </c>
      <c r="I39" t="s">
        <v>226</v>
      </c>
      <c r="J39" s="2">
        <v>45846</v>
      </c>
      <c r="K39" t="s">
        <v>224</v>
      </c>
      <c r="L39" t="s">
        <v>224</v>
      </c>
      <c r="M39" t="s">
        <v>228</v>
      </c>
      <c r="N39" s="2">
        <v>45856</v>
      </c>
      <c r="O39" t="s">
        <v>230</v>
      </c>
      <c r="P39" t="s">
        <v>223</v>
      </c>
      <c r="Q39" t="s">
        <v>224</v>
      </c>
      <c r="R39">
        <v>9270</v>
      </c>
      <c r="S39" t="s">
        <v>224</v>
      </c>
      <c r="T39" t="s">
        <v>232</v>
      </c>
      <c r="U39">
        <v>9.6999999999999993</v>
      </c>
      <c r="V39">
        <v>2</v>
      </c>
      <c r="W39">
        <v>1026</v>
      </c>
      <c r="X39" s="26" t="b">
        <f t="shared" si="0"/>
        <v>0</v>
      </c>
      <c r="Y39" s="26" t="b">
        <f t="shared" si="1"/>
        <v>0</v>
      </c>
      <c r="Z39" s="26" t="b">
        <f t="shared" si="2"/>
        <v>0</v>
      </c>
      <c r="AA39" s="26" t="b">
        <f t="shared" si="3"/>
        <v>1</v>
      </c>
      <c r="AB39" s="26" t="b">
        <f t="shared" si="4"/>
        <v>1</v>
      </c>
      <c r="AC39" s="26" t="b">
        <f t="shared" si="5"/>
        <v>0</v>
      </c>
      <c r="AD39" s="26" t="b">
        <f t="shared" si="6"/>
        <v>0</v>
      </c>
      <c r="AE39" s="26" t="b">
        <f t="shared" ca="1" si="7"/>
        <v>1</v>
      </c>
    </row>
    <row r="40" spans="1:31" x14ac:dyDescent="0.3">
      <c r="A40" t="s">
        <v>61</v>
      </c>
      <c r="B40">
        <v>10</v>
      </c>
      <c r="C40">
        <v>10</v>
      </c>
      <c r="D40">
        <v>4.5</v>
      </c>
      <c r="E40">
        <v>4.9000000000000004</v>
      </c>
      <c r="F40">
        <v>27104</v>
      </c>
      <c r="G40" t="s">
        <v>223</v>
      </c>
      <c r="H40">
        <v>830</v>
      </c>
      <c r="I40" t="s">
        <v>226</v>
      </c>
      <c r="J40" s="2">
        <v>45851</v>
      </c>
      <c r="K40" t="s">
        <v>224</v>
      </c>
      <c r="L40" t="s">
        <v>224</v>
      </c>
      <c r="M40" t="s">
        <v>227</v>
      </c>
      <c r="N40" s="2">
        <v>45861</v>
      </c>
      <c r="O40" t="s">
        <v>230</v>
      </c>
      <c r="P40" t="s">
        <v>223</v>
      </c>
      <c r="Q40" t="s">
        <v>224</v>
      </c>
      <c r="R40">
        <v>15356</v>
      </c>
      <c r="S40" t="s">
        <v>224</v>
      </c>
      <c r="T40" t="s">
        <v>232</v>
      </c>
      <c r="U40">
        <v>0.28999999999999998</v>
      </c>
      <c r="V40">
        <v>3.2</v>
      </c>
      <c r="W40">
        <v>1318</v>
      </c>
      <c r="X40" s="26" t="b">
        <f t="shared" si="0"/>
        <v>0</v>
      </c>
      <c r="Y40" s="26" t="b">
        <f t="shared" si="1"/>
        <v>1</v>
      </c>
      <c r="Z40" s="26" t="b">
        <f t="shared" si="2"/>
        <v>0</v>
      </c>
      <c r="AA40" s="26" t="b">
        <f t="shared" si="3"/>
        <v>1</v>
      </c>
      <c r="AB40" s="26" t="b">
        <f t="shared" si="4"/>
        <v>0</v>
      </c>
      <c r="AC40" s="26" t="b">
        <f t="shared" si="5"/>
        <v>0</v>
      </c>
      <c r="AD40" s="26" t="b">
        <f t="shared" si="6"/>
        <v>0</v>
      </c>
      <c r="AE40" s="26" t="b">
        <f t="shared" ca="1" si="7"/>
        <v>1</v>
      </c>
    </row>
    <row r="41" spans="1:31" x14ac:dyDescent="0.3">
      <c r="A41" t="s">
        <v>62</v>
      </c>
      <c r="B41">
        <v>17</v>
      </c>
      <c r="C41">
        <v>2</v>
      </c>
      <c r="D41">
        <v>2.2000000000000002</v>
      </c>
      <c r="E41">
        <v>0.6</v>
      </c>
      <c r="F41">
        <v>73476</v>
      </c>
      <c r="G41" t="s">
        <v>223</v>
      </c>
      <c r="H41">
        <v>530</v>
      </c>
      <c r="I41" t="s">
        <v>225</v>
      </c>
      <c r="J41" s="2">
        <v>45861</v>
      </c>
      <c r="K41" t="s">
        <v>223</v>
      </c>
      <c r="L41" t="s">
        <v>223</v>
      </c>
      <c r="M41" t="s">
        <v>228</v>
      </c>
      <c r="N41" s="2">
        <v>45864</v>
      </c>
      <c r="O41" t="s">
        <v>230</v>
      </c>
      <c r="P41" t="s">
        <v>224</v>
      </c>
      <c r="Q41" t="s">
        <v>224</v>
      </c>
      <c r="R41">
        <v>16473</v>
      </c>
      <c r="S41" t="s">
        <v>223</v>
      </c>
      <c r="T41" t="s">
        <v>231</v>
      </c>
      <c r="U41">
        <v>5.51</v>
      </c>
      <c r="V41">
        <v>1.9</v>
      </c>
      <c r="W41">
        <v>1443</v>
      </c>
      <c r="X41" s="26" t="b">
        <f t="shared" si="0"/>
        <v>0</v>
      </c>
      <c r="Y41" s="26" t="b">
        <f t="shared" si="1"/>
        <v>0</v>
      </c>
      <c r="Z41" s="26" t="b">
        <f t="shared" si="2"/>
        <v>0</v>
      </c>
      <c r="AA41" s="26" t="b">
        <f t="shared" si="3"/>
        <v>0</v>
      </c>
      <c r="AB41" s="26" t="b">
        <f t="shared" si="4"/>
        <v>0</v>
      </c>
      <c r="AC41" s="26" t="b">
        <f t="shared" si="5"/>
        <v>0</v>
      </c>
      <c r="AD41" s="26" t="b">
        <f t="shared" si="6"/>
        <v>1</v>
      </c>
      <c r="AE41" s="26" t="b">
        <f t="shared" ca="1" si="7"/>
        <v>0</v>
      </c>
    </row>
    <row r="42" spans="1:31" x14ac:dyDescent="0.3">
      <c r="A42" t="s">
        <v>63</v>
      </c>
      <c r="B42">
        <v>29</v>
      </c>
      <c r="C42">
        <v>8</v>
      </c>
      <c r="D42">
        <v>4</v>
      </c>
      <c r="E42">
        <v>1.8</v>
      </c>
      <c r="F42">
        <v>29150</v>
      </c>
      <c r="G42" t="s">
        <v>224</v>
      </c>
      <c r="H42">
        <v>724</v>
      </c>
      <c r="I42" t="s">
        <v>226</v>
      </c>
      <c r="J42" s="2">
        <v>45831</v>
      </c>
      <c r="K42" t="s">
        <v>224</v>
      </c>
      <c r="L42" t="s">
        <v>223</v>
      </c>
      <c r="M42" t="s">
        <v>228</v>
      </c>
      <c r="N42" s="2">
        <v>45864</v>
      </c>
      <c r="O42" t="s">
        <v>230</v>
      </c>
      <c r="P42" t="s">
        <v>223</v>
      </c>
      <c r="Q42" t="s">
        <v>224</v>
      </c>
      <c r="R42">
        <v>18648</v>
      </c>
      <c r="S42" t="s">
        <v>224</v>
      </c>
      <c r="T42" t="s">
        <v>231</v>
      </c>
      <c r="U42">
        <v>3.32</v>
      </c>
      <c r="V42">
        <v>3.8</v>
      </c>
      <c r="W42">
        <v>886</v>
      </c>
      <c r="X42" s="26" t="b">
        <f t="shared" si="0"/>
        <v>0</v>
      </c>
      <c r="Y42" s="26" t="b">
        <f t="shared" si="1"/>
        <v>0</v>
      </c>
      <c r="Z42" s="26" t="b">
        <f t="shared" si="2"/>
        <v>0</v>
      </c>
      <c r="AA42" s="26" t="b">
        <f t="shared" si="3"/>
        <v>1</v>
      </c>
      <c r="AB42" s="26" t="b">
        <f t="shared" si="4"/>
        <v>0</v>
      </c>
      <c r="AC42" s="26" t="b">
        <f t="shared" si="5"/>
        <v>1</v>
      </c>
      <c r="AD42" s="26" t="b">
        <f t="shared" si="6"/>
        <v>0</v>
      </c>
      <c r="AE42" s="26" t="b">
        <f t="shared" ca="1" si="7"/>
        <v>0</v>
      </c>
    </row>
    <row r="43" spans="1:31" x14ac:dyDescent="0.3">
      <c r="A43" t="s">
        <v>64</v>
      </c>
      <c r="B43">
        <v>24</v>
      </c>
      <c r="C43">
        <v>5</v>
      </c>
      <c r="D43">
        <v>4.5</v>
      </c>
      <c r="E43">
        <v>9.8000000000000007</v>
      </c>
      <c r="F43">
        <v>51300</v>
      </c>
      <c r="G43" t="s">
        <v>224</v>
      </c>
      <c r="H43">
        <v>539</v>
      </c>
      <c r="I43" t="s">
        <v>226</v>
      </c>
      <c r="J43" s="2">
        <v>45888</v>
      </c>
      <c r="K43" t="s">
        <v>224</v>
      </c>
      <c r="L43" t="s">
        <v>224</v>
      </c>
      <c r="M43" t="s">
        <v>228</v>
      </c>
      <c r="N43" s="2">
        <v>45867</v>
      </c>
      <c r="O43" t="s">
        <v>229</v>
      </c>
      <c r="P43" t="s">
        <v>224</v>
      </c>
      <c r="Q43" t="s">
        <v>223</v>
      </c>
      <c r="R43">
        <v>5136</v>
      </c>
      <c r="S43" t="s">
        <v>224</v>
      </c>
      <c r="T43" t="s">
        <v>232</v>
      </c>
      <c r="U43">
        <v>8.74</v>
      </c>
      <c r="V43">
        <v>2.2000000000000002</v>
      </c>
      <c r="W43">
        <v>1038</v>
      </c>
      <c r="X43" s="26" t="b">
        <f t="shared" si="0"/>
        <v>0</v>
      </c>
      <c r="Y43" s="26" t="b">
        <f t="shared" si="1"/>
        <v>1</v>
      </c>
      <c r="Z43" s="26" t="b">
        <f t="shared" si="2"/>
        <v>1</v>
      </c>
      <c r="AA43" s="26" t="b">
        <f t="shared" si="3"/>
        <v>0</v>
      </c>
      <c r="AB43" s="26" t="b">
        <f t="shared" si="4"/>
        <v>1</v>
      </c>
      <c r="AC43" s="26" t="b">
        <f t="shared" si="5"/>
        <v>0</v>
      </c>
      <c r="AD43" s="26" t="b">
        <f t="shared" si="6"/>
        <v>0</v>
      </c>
      <c r="AE43" s="26" t="b">
        <f t="shared" ca="1" si="7"/>
        <v>0</v>
      </c>
    </row>
    <row r="44" spans="1:31" x14ac:dyDescent="0.3">
      <c r="A44" t="s">
        <v>65</v>
      </c>
      <c r="B44">
        <v>24</v>
      </c>
      <c r="C44">
        <v>0</v>
      </c>
      <c r="D44">
        <v>3.9</v>
      </c>
      <c r="E44">
        <v>4.4000000000000004</v>
      </c>
      <c r="F44">
        <v>40232</v>
      </c>
      <c r="G44" t="s">
        <v>223</v>
      </c>
      <c r="H44">
        <v>780</v>
      </c>
      <c r="I44" t="s">
        <v>226</v>
      </c>
      <c r="J44" s="2">
        <v>45869</v>
      </c>
      <c r="K44" t="s">
        <v>224</v>
      </c>
      <c r="L44" t="s">
        <v>223</v>
      </c>
      <c r="M44" t="s">
        <v>228</v>
      </c>
      <c r="N44" s="2">
        <v>45867</v>
      </c>
      <c r="O44" t="s">
        <v>230</v>
      </c>
      <c r="P44" t="s">
        <v>224</v>
      </c>
      <c r="Q44" t="s">
        <v>223</v>
      </c>
      <c r="R44">
        <v>3242</v>
      </c>
      <c r="S44" t="s">
        <v>223</v>
      </c>
      <c r="T44" t="s">
        <v>231</v>
      </c>
      <c r="U44">
        <v>9.9700000000000006</v>
      </c>
      <c r="V44">
        <v>3.7</v>
      </c>
      <c r="W44">
        <v>944</v>
      </c>
      <c r="X44" s="26" t="b">
        <f t="shared" si="0"/>
        <v>1</v>
      </c>
      <c r="Y44" s="26" t="b">
        <f t="shared" si="1"/>
        <v>0</v>
      </c>
      <c r="Z44" s="26" t="b">
        <f t="shared" si="2"/>
        <v>0</v>
      </c>
      <c r="AA44" s="26" t="b">
        <f t="shared" si="3"/>
        <v>0</v>
      </c>
      <c r="AB44" s="26" t="b">
        <f t="shared" si="4"/>
        <v>1</v>
      </c>
      <c r="AC44" s="26" t="b">
        <f t="shared" si="5"/>
        <v>1</v>
      </c>
      <c r="AD44" s="26" t="b">
        <f t="shared" si="6"/>
        <v>0</v>
      </c>
      <c r="AE44" s="26" t="b">
        <f t="shared" ca="1" si="7"/>
        <v>0</v>
      </c>
    </row>
    <row r="45" spans="1:31" x14ac:dyDescent="0.3">
      <c r="A45" t="s">
        <v>66</v>
      </c>
      <c r="B45">
        <v>13</v>
      </c>
      <c r="C45">
        <v>10</v>
      </c>
      <c r="D45">
        <v>3.8</v>
      </c>
      <c r="E45">
        <v>1.5</v>
      </c>
      <c r="F45">
        <v>41805</v>
      </c>
      <c r="G45" t="s">
        <v>224</v>
      </c>
      <c r="H45">
        <v>329</v>
      </c>
      <c r="I45" t="s">
        <v>225</v>
      </c>
      <c r="J45" s="2">
        <v>45870</v>
      </c>
      <c r="K45" t="s">
        <v>223</v>
      </c>
      <c r="L45" t="s">
        <v>224</v>
      </c>
      <c r="M45" t="s">
        <v>228</v>
      </c>
      <c r="N45" s="2">
        <v>45866</v>
      </c>
      <c r="O45" t="s">
        <v>230</v>
      </c>
      <c r="P45" t="s">
        <v>223</v>
      </c>
      <c r="Q45" t="s">
        <v>223</v>
      </c>
      <c r="R45">
        <v>18405</v>
      </c>
      <c r="S45" t="s">
        <v>224</v>
      </c>
      <c r="T45" t="s">
        <v>232</v>
      </c>
      <c r="U45">
        <v>1.7</v>
      </c>
      <c r="V45">
        <v>0.4</v>
      </c>
      <c r="W45">
        <v>1391</v>
      </c>
      <c r="X45" s="26" t="b">
        <f t="shared" si="0"/>
        <v>0</v>
      </c>
      <c r="Y45" s="26" t="b">
        <f t="shared" si="1"/>
        <v>0</v>
      </c>
      <c r="Z45" s="26" t="b">
        <f t="shared" si="2"/>
        <v>0</v>
      </c>
      <c r="AA45" s="26" t="b">
        <f t="shared" si="3"/>
        <v>0</v>
      </c>
      <c r="AB45" s="26" t="b">
        <f t="shared" si="4"/>
        <v>0</v>
      </c>
      <c r="AC45" s="26" t="b">
        <f t="shared" si="5"/>
        <v>0</v>
      </c>
      <c r="AD45" s="26" t="b">
        <f t="shared" si="6"/>
        <v>0</v>
      </c>
      <c r="AE45" s="26" t="b">
        <f t="shared" ca="1" si="7"/>
        <v>0</v>
      </c>
    </row>
    <row r="46" spans="1:31" x14ac:dyDescent="0.3">
      <c r="A46" t="s">
        <v>67</v>
      </c>
      <c r="B46">
        <v>22</v>
      </c>
      <c r="C46">
        <v>9</v>
      </c>
      <c r="D46">
        <v>3.7</v>
      </c>
      <c r="E46">
        <v>5.2</v>
      </c>
      <c r="F46">
        <v>96435</v>
      </c>
      <c r="G46" t="s">
        <v>223</v>
      </c>
      <c r="H46">
        <v>537</v>
      </c>
      <c r="I46" t="s">
        <v>226</v>
      </c>
      <c r="J46" s="2">
        <v>45850</v>
      </c>
      <c r="K46" t="s">
        <v>224</v>
      </c>
      <c r="L46" t="s">
        <v>224</v>
      </c>
      <c r="M46" t="s">
        <v>228</v>
      </c>
      <c r="N46" s="2">
        <v>45855</v>
      </c>
      <c r="O46" t="s">
        <v>230</v>
      </c>
      <c r="P46" t="s">
        <v>224</v>
      </c>
      <c r="Q46" t="s">
        <v>223</v>
      </c>
      <c r="R46">
        <v>3420</v>
      </c>
      <c r="S46" t="s">
        <v>224</v>
      </c>
      <c r="T46" t="s">
        <v>231</v>
      </c>
      <c r="U46">
        <v>9.8800000000000008</v>
      </c>
      <c r="V46">
        <v>1.5</v>
      </c>
      <c r="W46">
        <v>1485</v>
      </c>
      <c r="X46" s="26" t="b">
        <f t="shared" si="0"/>
        <v>0</v>
      </c>
      <c r="Y46" s="26" t="b">
        <f t="shared" si="1"/>
        <v>0</v>
      </c>
      <c r="Z46" s="26" t="b">
        <f t="shared" si="2"/>
        <v>0</v>
      </c>
      <c r="AA46" s="26" t="b">
        <f t="shared" si="3"/>
        <v>0</v>
      </c>
      <c r="AB46" s="26" t="b">
        <f t="shared" si="4"/>
        <v>0</v>
      </c>
      <c r="AC46" s="26" t="b">
        <f t="shared" si="5"/>
        <v>0</v>
      </c>
      <c r="AD46" s="26" t="b">
        <f t="shared" si="6"/>
        <v>0</v>
      </c>
      <c r="AE46" s="26" t="b">
        <f t="shared" ca="1" si="7"/>
        <v>1</v>
      </c>
    </row>
    <row r="47" spans="1:31" x14ac:dyDescent="0.3">
      <c r="A47" t="s">
        <v>68</v>
      </c>
      <c r="B47">
        <v>23</v>
      </c>
      <c r="C47">
        <v>4</v>
      </c>
      <c r="D47">
        <v>2.8</v>
      </c>
      <c r="E47">
        <v>3.4</v>
      </c>
      <c r="F47">
        <v>70422</v>
      </c>
      <c r="G47" t="s">
        <v>224</v>
      </c>
      <c r="H47">
        <v>409</v>
      </c>
      <c r="I47" t="s">
        <v>225</v>
      </c>
      <c r="J47" s="2">
        <v>45866</v>
      </c>
      <c r="K47" t="s">
        <v>224</v>
      </c>
      <c r="L47" t="s">
        <v>224</v>
      </c>
      <c r="M47" t="s">
        <v>228</v>
      </c>
      <c r="N47" s="2">
        <v>45855</v>
      </c>
      <c r="O47" t="s">
        <v>230</v>
      </c>
      <c r="P47" t="s">
        <v>224</v>
      </c>
      <c r="Q47" t="s">
        <v>223</v>
      </c>
      <c r="R47">
        <v>19544</v>
      </c>
      <c r="S47" t="s">
        <v>223</v>
      </c>
      <c r="T47" t="s">
        <v>231</v>
      </c>
      <c r="U47">
        <v>8.33</v>
      </c>
      <c r="V47">
        <v>4.5</v>
      </c>
      <c r="W47">
        <v>1294</v>
      </c>
      <c r="X47" s="26" t="b">
        <f t="shared" si="0"/>
        <v>0</v>
      </c>
      <c r="Y47" s="26" t="b">
        <f t="shared" si="1"/>
        <v>0</v>
      </c>
      <c r="Z47" s="26" t="b">
        <f t="shared" si="2"/>
        <v>1</v>
      </c>
      <c r="AA47" s="26" t="b">
        <f t="shared" si="3"/>
        <v>0</v>
      </c>
      <c r="AB47" s="26" t="b">
        <f t="shared" si="4"/>
        <v>0</v>
      </c>
      <c r="AC47" s="26" t="b">
        <f t="shared" si="5"/>
        <v>0</v>
      </c>
      <c r="AD47" s="26" t="b">
        <f t="shared" si="6"/>
        <v>0</v>
      </c>
      <c r="AE47" s="26" t="b">
        <f t="shared" ca="1" si="7"/>
        <v>1</v>
      </c>
    </row>
    <row r="48" spans="1:31" x14ac:dyDescent="0.3">
      <c r="A48" t="s">
        <v>69</v>
      </c>
      <c r="B48">
        <v>17</v>
      </c>
      <c r="C48">
        <v>9</v>
      </c>
      <c r="D48">
        <v>4.2</v>
      </c>
      <c r="E48">
        <v>2.6</v>
      </c>
      <c r="F48">
        <v>44920</v>
      </c>
      <c r="G48" t="s">
        <v>224</v>
      </c>
      <c r="H48">
        <v>440</v>
      </c>
      <c r="I48" t="s">
        <v>225</v>
      </c>
      <c r="J48" s="2">
        <v>45833</v>
      </c>
      <c r="K48" t="s">
        <v>223</v>
      </c>
      <c r="L48" t="s">
        <v>224</v>
      </c>
      <c r="M48" t="s">
        <v>228</v>
      </c>
      <c r="N48" s="2">
        <v>45856</v>
      </c>
      <c r="O48" t="s">
        <v>230</v>
      </c>
      <c r="P48" t="s">
        <v>223</v>
      </c>
      <c r="Q48" t="s">
        <v>223</v>
      </c>
      <c r="R48">
        <v>10670</v>
      </c>
      <c r="S48" t="s">
        <v>224</v>
      </c>
      <c r="T48" t="s">
        <v>231</v>
      </c>
      <c r="U48">
        <v>1.76</v>
      </c>
      <c r="V48">
        <v>0.7</v>
      </c>
      <c r="W48">
        <v>1052</v>
      </c>
      <c r="X48" s="26" t="b">
        <f t="shared" si="0"/>
        <v>0</v>
      </c>
      <c r="Y48" s="26" t="b">
        <f t="shared" si="1"/>
        <v>1</v>
      </c>
      <c r="Z48" s="26" t="b">
        <f t="shared" si="2"/>
        <v>0</v>
      </c>
      <c r="AA48" s="26" t="b">
        <f t="shared" si="3"/>
        <v>0</v>
      </c>
      <c r="AB48" s="26" t="b">
        <f t="shared" si="4"/>
        <v>0</v>
      </c>
      <c r="AC48" s="26" t="b">
        <f t="shared" si="5"/>
        <v>0</v>
      </c>
      <c r="AD48" s="26" t="b">
        <f t="shared" si="6"/>
        <v>0</v>
      </c>
      <c r="AE48" s="26" t="b">
        <f t="shared" ca="1" si="7"/>
        <v>1</v>
      </c>
    </row>
    <row r="49" spans="1:31" x14ac:dyDescent="0.3">
      <c r="A49" t="s">
        <v>70</v>
      </c>
      <c r="B49">
        <v>21</v>
      </c>
      <c r="C49">
        <v>8</v>
      </c>
      <c r="D49">
        <v>3</v>
      </c>
      <c r="E49">
        <v>3.1</v>
      </c>
      <c r="F49">
        <v>41567</v>
      </c>
      <c r="G49" t="s">
        <v>224</v>
      </c>
      <c r="H49">
        <v>793</v>
      </c>
      <c r="I49" t="s">
        <v>226</v>
      </c>
      <c r="J49" s="2">
        <v>45843</v>
      </c>
      <c r="K49" t="s">
        <v>224</v>
      </c>
      <c r="L49" t="s">
        <v>223</v>
      </c>
      <c r="M49" t="s">
        <v>228</v>
      </c>
      <c r="N49" s="2">
        <v>45857</v>
      </c>
      <c r="O49" t="s">
        <v>229</v>
      </c>
      <c r="P49" t="s">
        <v>223</v>
      </c>
      <c r="Q49" t="s">
        <v>224</v>
      </c>
      <c r="R49">
        <v>19262</v>
      </c>
      <c r="S49" t="s">
        <v>224</v>
      </c>
      <c r="T49" t="s">
        <v>232</v>
      </c>
      <c r="U49">
        <v>7.91</v>
      </c>
      <c r="V49">
        <v>0.1</v>
      </c>
      <c r="W49">
        <v>1049</v>
      </c>
      <c r="X49" s="26" t="b">
        <f t="shared" si="0"/>
        <v>0</v>
      </c>
      <c r="Y49" s="26" t="b">
        <f t="shared" si="1"/>
        <v>0</v>
      </c>
      <c r="Z49" s="26" t="b">
        <f t="shared" si="2"/>
        <v>0</v>
      </c>
      <c r="AA49" s="26" t="b">
        <f t="shared" si="3"/>
        <v>1</v>
      </c>
      <c r="AB49" s="26" t="b">
        <f t="shared" si="4"/>
        <v>0</v>
      </c>
      <c r="AC49" s="26" t="b">
        <f t="shared" si="5"/>
        <v>0</v>
      </c>
      <c r="AD49" s="26" t="b">
        <f t="shared" si="6"/>
        <v>0</v>
      </c>
      <c r="AE49" s="26" t="b">
        <f t="shared" ca="1" si="7"/>
        <v>1</v>
      </c>
    </row>
    <row r="50" spans="1:31" x14ac:dyDescent="0.3">
      <c r="A50" t="s">
        <v>71</v>
      </c>
      <c r="B50">
        <v>13</v>
      </c>
      <c r="C50">
        <v>7</v>
      </c>
      <c r="D50">
        <v>2.5</v>
      </c>
      <c r="E50">
        <v>7.6</v>
      </c>
      <c r="F50">
        <v>54362</v>
      </c>
      <c r="G50" t="s">
        <v>224</v>
      </c>
      <c r="H50">
        <v>680</v>
      </c>
      <c r="I50" t="s">
        <v>225</v>
      </c>
      <c r="J50" s="2">
        <v>45847</v>
      </c>
      <c r="K50" t="s">
        <v>223</v>
      </c>
      <c r="L50" t="s">
        <v>224</v>
      </c>
      <c r="M50" t="s">
        <v>227</v>
      </c>
      <c r="N50" s="2">
        <v>45865</v>
      </c>
      <c r="O50" t="s">
        <v>229</v>
      </c>
      <c r="P50" t="s">
        <v>223</v>
      </c>
      <c r="Q50" t="s">
        <v>224</v>
      </c>
      <c r="R50">
        <v>10902</v>
      </c>
      <c r="S50" t="s">
        <v>224</v>
      </c>
      <c r="T50" t="s">
        <v>232</v>
      </c>
      <c r="U50">
        <v>1.4</v>
      </c>
      <c r="V50">
        <v>4.7</v>
      </c>
      <c r="W50">
        <v>811</v>
      </c>
      <c r="X50" s="26" t="b">
        <f t="shared" si="0"/>
        <v>0</v>
      </c>
      <c r="Y50" s="26" t="b">
        <f t="shared" si="1"/>
        <v>0</v>
      </c>
      <c r="Z50" s="26" t="b">
        <f t="shared" si="2"/>
        <v>1</v>
      </c>
      <c r="AA50" s="26" t="b">
        <f t="shared" si="3"/>
        <v>1</v>
      </c>
      <c r="AB50" s="26" t="b">
        <f t="shared" si="4"/>
        <v>0</v>
      </c>
      <c r="AC50" s="26" t="b">
        <f t="shared" si="5"/>
        <v>1</v>
      </c>
      <c r="AD50" s="26" t="b">
        <f t="shared" si="6"/>
        <v>0</v>
      </c>
      <c r="AE50" s="26" t="b">
        <f t="shared" ca="1" si="7"/>
        <v>1</v>
      </c>
    </row>
    <row r="51" spans="1:31" x14ac:dyDescent="0.3">
      <c r="A51" t="s">
        <v>72</v>
      </c>
      <c r="B51">
        <v>25</v>
      </c>
      <c r="C51">
        <v>1</v>
      </c>
      <c r="D51">
        <v>1.4</v>
      </c>
      <c r="E51">
        <v>8.9</v>
      </c>
      <c r="F51">
        <v>37781</v>
      </c>
      <c r="G51" t="s">
        <v>224</v>
      </c>
      <c r="H51">
        <v>764</v>
      </c>
      <c r="I51" t="s">
        <v>226</v>
      </c>
      <c r="J51" s="2">
        <v>45848</v>
      </c>
      <c r="K51" t="s">
        <v>224</v>
      </c>
      <c r="L51" t="s">
        <v>223</v>
      </c>
      <c r="M51" t="s">
        <v>228</v>
      </c>
      <c r="N51" s="2">
        <v>45858</v>
      </c>
      <c r="O51" t="s">
        <v>230</v>
      </c>
      <c r="P51" t="s">
        <v>224</v>
      </c>
      <c r="Q51" t="s">
        <v>224</v>
      </c>
      <c r="R51">
        <v>2072</v>
      </c>
      <c r="S51" t="s">
        <v>224</v>
      </c>
      <c r="T51" t="s">
        <v>232</v>
      </c>
      <c r="U51">
        <v>4.43</v>
      </c>
      <c r="V51">
        <v>4.8</v>
      </c>
      <c r="W51">
        <v>1375</v>
      </c>
      <c r="X51" s="26" t="b">
        <f t="shared" si="0"/>
        <v>1</v>
      </c>
      <c r="Y51" s="26" t="b">
        <f t="shared" si="1"/>
        <v>0</v>
      </c>
      <c r="Z51" s="26" t="b">
        <f t="shared" si="2"/>
        <v>0</v>
      </c>
      <c r="AA51" s="26" t="b">
        <f t="shared" si="3"/>
        <v>0</v>
      </c>
      <c r="AB51" s="26" t="b">
        <f t="shared" si="4"/>
        <v>1</v>
      </c>
      <c r="AC51" s="26" t="b">
        <f t="shared" si="5"/>
        <v>0</v>
      </c>
      <c r="AD51" s="26" t="b">
        <f t="shared" si="6"/>
        <v>1</v>
      </c>
      <c r="AE51" s="26" t="b">
        <f t="shared" ca="1" si="7"/>
        <v>1</v>
      </c>
    </row>
    <row r="52" spans="1:31" x14ac:dyDescent="0.3">
      <c r="A52" t="s">
        <v>73</v>
      </c>
      <c r="B52">
        <v>21</v>
      </c>
      <c r="C52">
        <v>1</v>
      </c>
      <c r="D52">
        <v>4.9000000000000004</v>
      </c>
      <c r="E52">
        <v>4</v>
      </c>
      <c r="F52">
        <v>67012</v>
      </c>
      <c r="G52" t="s">
        <v>223</v>
      </c>
      <c r="H52">
        <v>707</v>
      </c>
      <c r="I52" t="s">
        <v>226</v>
      </c>
      <c r="J52" s="2">
        <v>45878</v>
      </c>
      <c r="K52" t="s">
        <v>223</v>
      </c>
      <c r="L52" t="s">
        <v>224</v>
      </c>
      <c r="M52" t="s">
        <v>227</v>
      </c>
      <c r="N52" s="2">
        <v>45861</v>
      </c>
      <c r="O52" t="s">
        <v>229</v>
      </c>
      <c r="P52" t="s">
        <v>223</v>
      </c>
      <c r="Q52" t="s">
        <v>224</v>
      </c>
      <c r="R52">
        <v>8981</v>
      </c>
      <c r="S52" t="s">
        <v>223</v>
      </c>
      <c r="T52" t="s">
        <v>232</v>
      </c>
      <c r="U52">
        <v>0.69</v>
      </c>
      <c r="V52">
        <v>3.8</v>
      </c>
      <c r="W52">
        <v>712</v>
      </c>
      <c r="X52" s="26" t="b">
        <f t="shared" si="0"/>
        <v>1</v>
      </c>
      <c r="Y52" s="26" t="b">
        <f t="shared" si="1"/>
        <v>1</v>
      </c>
      <c r="Z52" s="26" t="b">
        <f t="shared" si="2"/>
        <v>0</v>
      </c>
      <c r="AA52" s="26" t="b">
        <f t="shared" si="3"/>
        <v>1</v>
      </c>
      <c r="AB52" s="26" t="b">
        <f t="shared" si="4"/>
        <v>1</v>
      </c>
      <c r="AC52" s="26" t="b">
        <f t="shared" si="5"/>
        <v>1</v>
      </c>
      <c r="AD52" s="26" t="b">
        <f t="shared" si="6"/>
        <v>0</v>
      </c>
      <c r="AE52" s="26" t="b">
        <f t="shared" ca="1" si="7"/>
        <v>1</v>
      </c>
    </row>
    <row r="53" spans="1:31" x14ac:dyDescent="0.3">
      <c r="A53" t="s">
        <v>74</v>
      </c>
      <c r="B53">
        <v>28</v>
      </c>
      <c r="C53">
        <v>3</v>
      </c>
      <c r="D53">
        <v>4.3</v>
      </c>
      <c r="E53">
        <v>2.7</v>
      </c>
      <c r="F53">
        <v>39340</v>
      </c>
      <c r="G53" t="s">
        <v>223</v>
      </c>
      <c r="H53">
        <v>583</v>
      </c>
      <c r="I53" t="s">
        <v>225</v>
      </c>
      <c r="J53" s="2">
        <v>45882</v>
      </c>
      <c r="K53" t="s">
        <v>224</v>
      </c>
      <c r="L53" t="s">
        <v>223</v>
      </c>
      <c r="M53" t="s">
        <v>227</v>
      </c>
      <c r="N53" s="2">
        <v>45855</v>
      </c>
      <c r="O53" t="s">
        <v>229</v>
      </c>
      <c r="P53" t="s">
        <v>223</v>
      </c>
      <c r="Q53" t="s">
        <v>224</v>
      </c>
      <c r="R53">
        <v>8796</v>
      </c>
      <c r="S53" t="s">
        <v>224</v>
      </c>
      <c r="T53" t="s">
        <v>232</v>
      </c>
      <c r="U53">
        <v>1.74</v>
      </c>
      <c r="V53">
        <v>0.3</v>
      </c>
      <c r="W53">
        <v>1259</v>
      </c>
      <c r="X53" s="26" t="b">
        <f t="shared" si="0"/>
        <v>0</v>
      </c>
      <c r="Y53" s="26" t="b">
        <f t="shared" si="1"/>
        <v>1</v>
      </c>
      <c r="Z53" s="26" t="b">
        <f t="shared" si="2"/>
        <v>0</v>
      </c>
      <c r="AA53" s="26" t="b">
        <f t="shared" si="3"/>
        <v>1</v>
      </c>
      <c r="AB53" s="26" t="b">
        <f t="shared" si="4"/>
        <v>1</v>
      </c>
      <c r="AC53" s="26" t="b">
        <f t="shared" si="5"/>
        <v>0</v>
      </c>
      <c r="AD53" s="26" t="b">
        <f t="shared" si="6"/>
        <v>0</v>
      </c>
      <c r="AE53" s="26" t="b">
        <f t="shared" ca="1" si="7"/>
        <v>1</v>
      </c>
    </row>
    <row r="54" spans="1:31" x14ac:dyDescent="0.3">
      <c r="A54" t="s">
        <v>75</v>
      </c>
      <c r="B54">
        <v>23</v>
      </c>
      <c r="C54">
        <v>8</v>
      </c>
      <c r="D54">
        <v>1.5</v>
      </c>
      <c r="E54">
        <v>1.1000000000000001</v>
      </c>
      <c r="F54">
        <v>78756</v>
      </c>
      <c r="G54" t="s">
        <v>224</v>
      </c>
      <c r="H54">
        <v>825</v>
      </c>
      <c r="I54" t="s">
        <v>225</v>
      </c>
      <c r="J54" s="2">
        <v>45862</v>
      </c>
      <c r="K54" t="s">
        <v>223</v>
      </c>
      <c r="L54" t="s">
        <v>223</v>
      </c>
      <c r="M54" t="s">
        <v>228</v>
      </c>
      <c r="N54" s="2">
        <v>45869</v>
      </c>
      <c r="O54" t="s">
        <v>229</v>
      </c>
      <c r="P54" t="s">
        <v>223</v>
      </c>
      <c r="Q54" t="s">
        <v>224</v>
      </c>
      <c r="R54">
        <v>14160</v>
      </c>
      <c r="S54" t="s">
        <v>224</v>
      </c>
      <c r="T54" t="s">
        <v>232</v>
      </c>
      <c r="U54">
        <v>4.9000000000000004</v>
      </c>
      <c r="V54">
        <v>4.5</v>
      </c>
      <c r="W54">
        <v>575</v>
      </c>
      <c r="X54" s="26" t="b">
        <f t="shared" si="0"/>
        <v>0</v>
      </c>
      <c r="Y54" s="26" t="b">
        <f t="shared" si="1"/>
        <v>0</v>
      </c>
      <c r="Z54" s="26" t="b">
        <f t="shared" si="2"/>
        <v>1</v>
      </c>
      <c r="AA54" s="26" t="b">
        <f t="shared" si="3"/>
        <v>1</v>
      </c>
      <c r="AB54" s="26" t="b">
        <f t="shared" si="4"/>
        <v>0</v>
      </c>
      <c r="AC54" s="26" t="b">
        <f t="shared" si="5"/>
        <v>1</v>
      </c>
      <c r="AD54" s="26" t="b">
        <f t="shared" si="6"/>
        <v>1</v>
      </c>
      <c r="AE54" s="26" t="b">
        <f t="shared" ca="1" si="7"/>
        <v>0</v>
      </c>
    </row>
    <row r="55" spans="1:31" x14ac:dyDescent="0.3">
      <c r="A55" t="s">
        <v>76</v>
      </c>
      <c r="B55">
        <v>12</v>
      </c>
      <c r="C55">
        <v>5</v>
      </c>
      <c r="D55">
        <v>3.4</v>
      </c>
      <c r="E55">
        <v>1.1000000000000001</v>
      </c>
      <c r="F55">
        <v>56046</v>
      </c>
      <c r="G55" t="s">
        <v>224</v>
      </c>
      <c r="H55">
        <v>690</v>
      </c>
      <c r="I55" t="s">
        <v>226</v>
      </c>
      <c r="J55" s="2">
        <v>45861</v>
      </c>
      <c r="K55" t="s">
        <v>224</v>
      </c>
      <c r="L55" t="s">
        <v>223</v>
      </c>
      <c r="M55" t="s">
        <v>227</v>
      </c>
      <c r="N55" s="2">
        <v>45861</v>
      </c>
      <c r="O55" t="s">
        <v>230</v>
      </c>
      <c r="P55" t="s">
        <v>224</v>
      </c>
      <c r="Q55" t="s">
        <v>223</v>
      </c>
      <c r="R55">
        <v>14559</v>
      </c>
      <c r="S55" t="s">
        <v>224</v>
      </c>
      <c r="T55" t="s">
        <v>231</v>
      </c>
      <c r="U55">
        <v>3.99</v>
      </c>
      <c r="V55">
        <v>3.6</v>
      </c>
      <c r="W55">
        <v>820</v>
      </c>
      <c r="X55" s="26" t="b">
        <f t="shared" si="0"/>
        <v>0</v>
      </c>
      <c r="Y55" s="26" t="b">
        <f t="shared" si="1"/>
        <v>0</v>
      </c>
      <c r="Z55" s="26" t="b">
        <f t="shared" si="2"/>
        <v>1</v>
      </c>
      <c r="AA55" s="26" t="b">
        <f t="shared" si="3"/>
        <v>0</v>
      </c>
      <c r="AB55" s="26" t="b">
        <f t="shared" si="4"/>
        <v>0</v>
      </c>
      <c r="AC55" s="26" t="b">
        <f t="shared" si="5"/>
        <v>1</v>
      </c>
      <c r="AD55" s="26" t="b">
        <f t="shared" si="6"/>
        <v>0</v>
      </c>
      <c r="AE55" s="26" t="b">
        <f t="shared" ca="1" si="7"/>
        <v>1</v>
      </c>
    </row>
    <row r="56" spans="1:31" x14ac:dyDescent="0.3">
      <c r="A56" t="s">
        <v>77</v>
      </c>
      <c r="B56">
        <v>23</v>
      </c>
      <c r="C56">
        <v>5</v>
      </c>
      <c r="D56">
        <v>3.7</v>
      </c>
      <c r="E56">
        <v>4.0999999999999996</v>
      </c>
      <c r="F56">
        <v>40006</v>
      </c>
      <c r="G56" t="s">
        <v>224</v>
      </c>
      <c r="H56">
        <v>368</v>
      </c>
      <c r="I56" t="s">
        <v>225</v>
      </c>
      <c r="J56" s="2">
        <v>45837</v>
      </c>
      <c r="K56" t="s">
        <v>223</v>
      </c>
      <c r="L56" t="s">
        <v>223</v>
      </c>
      <c r="M56" t="s">
        <v>228</v>
      </c>
      <c r="N56" s="2">
        <v>45858</v>
      </c>
      <c r="O56" t="s">
        <v>230</v>
      </c>
      <c r="P56" t="s">
        <v>223</v>
      </c>
      <c r="Q56" t="s">
        <v>223</v>
      </c>
      <c r="R56">
        <v>19402</v>
      </c>
      <c r="S56" t="s">
        <v>224</v>
      </c>
      <c r="T56" t="s">
        <v>232</v>
      </c>
      <c r="U56">
        <v>4.1100000000000003</v>
      </c>
      <c r="V56">
        <v>4.4000000000000004</v>
      </c>
      <c r="W56">
        <v>1463</v>
      </c>
      <c r="X56" s="26" t="b">
        <f t="shared" si="0"/>
        <v>0</v>
      </c>
      <c r="Y56" s="26" t="b">
        <f t="shared" si="1"/>
        <v>0</v>
      </c>
      <c r="Z56" s="26" t="b">
        <f t="shared" si="2"/>
        <v>0</v>
      </c>
      <c r="AA56" s="26" t="b">
        <f t="shared" si="3"/>
        <v>0</v>
      </c>
      <c r="AB56" s="26" t="b">
        <f t="shared" si="4"/>
        <v>0</v>
      </c>
      <c r="AC56" s="26" t="b">
        <f t="shared" si="5"/>
        <v>0</v>
      </c>
      <c r="AD56" s="26" t="b">
        <f t="shared" si="6"/>
        <v>0</v>
      </c>
      <c r="AE56" s="26" t="b">
        <f t="shared" ca="1" si="7"/>
        <v>1</v>
      </c>
    </row>
    <row r="57" spans="1:31" x14ac:dyDescent="0.3">
      <c r="A57" t="s">
        <v>78</v>
      </c>
      <c r="B57">
        <v>23</v>
      </c>
      <c r="C57">
        <v>0</v>
      </c>
      <c r="D57">
        <v>4.9000000000000004</v>
      </c>
      <c r="E57">
        <v>6.2</v>
      </c>
      <c r="F57">
        <v>66090</v>
      </c>
      <c r="G57" t="s">
        <v>223</v>
      </c>
      <c r="H57">
        <v>819</v>
      </c>
      <c r="I57" t="s">
        <v>225</v>
      </c>
      <c r="J57" s="2">
        <v>45881</v>
      </c>
      <c r="K57" t="s">
        <v>224</v>
      </c>
      <c r="L57" t="s">
        <v>223</v>
      </c>
      <c r="M57" t="s">
        <v>227</v>
      </c>
      <c r="N57" s="2">
        <v>45866</v>
      </c>
      <c r="O57" t="s">
        <v>230</v>
      </c>
      <c r="P57" t="s">
        <v>223</v>
      </c>
      <c r="Q57" t="s">
        <v>224</v>
      </c>
      <c r="R57">
        <v>19812</v>
      </c>
      <c r="S57" t="s">
        <v>223</v>
      </c>
      <c r="T57" t="s">
        <v>231</v>
      </c>
      <c r="U57">
        <v>8.4499999999999993</v>
      </c>
      <c r="V57">
        <v>4.9000000000000004</v>
      </c>
      <c r="W57">
        <v>1338</v>
      </c>
      <c r="X57" s="26" t="b">
        <f t="shared" si="0"/>
        <v>1</v>
      </c>
      <c r="Y57" s="26" t="b">
        <f t="shared" si="1"/>
        <v>1</v>
      </c>
      <c r="Z57" s="26" t="b">
        <f t="shared" si="2"/>
        <v>1</v>
      </c>
      <c r="AA57" s="26" t="b">
        <f t="shared" si="3"/>
        <v>1</v>
      </c>
      <c r="AB57" s="26" t="b">
        <f t="shared" si="4"/>
        <v>0</v>
      </c>
      <c r="AC57" s="26" t="b">
        <f t="shared" si="5"/>
        <v>0</v>
      </c>
      <c r="AD57" s="26" t="b">
        <f t="shared" si="6"/>
        <v>0</v>
      </c>
      <c r="AE57" s="26" t="b">
        <f t="shared" ca="1" si="7"/>
        <v>0</v>
      </c>
    </row>
    <row r="58" spans="1:31" x14ac:dyDescent="0.3">
      <c r="A58" t="s">
        <v>79</v>
      </c>
      <c r="B58">
        <v>29</v>
      </c>
      <c r="C58">
        <v>9</v>
      </c>
      <c r="D58">
        <v>3.7</v>
      </c>
      <c r="E58">
        <v>5.8</v>
      </c>
      <c r="F58">
        <v>99822</v>
      </c>
      <c r="G58" t="s">
        <v>224</v>
      </c>
      <c r="H58">
        <v>329</v>
      </c>
      <c r="I58" t="s">
        <v>225</v>
      </c>
      <c r="J58" s="2">
        <v>45873</v>
      </c>
      <c r="K58" t="s">
        <v>224</v>
      </c>
      <c r="L58" t="s">
        <v>224</v>
      </c>
      <c r="M58" t="s">
        <v>228</v>
      </c>
      <c r="N58" s="2">
        <v>45855</v>
      </c>
      <c r="O58" t="s">
        <v>229</v>
      </c>
      <c r="P58" t="s">
        <v>223</v>
      </c>
      <c r="Q58" t="s">
        <v>224</v>
      </c>
      <c r="R58">
        <v>3280</v>
      </c>
      <c r="S58" t="s">
        <v>223</v>
      </c>
      <c r="T58" t="s">
        <v>232</v>
      </c>
      <c r="U58">
        <v>0.92</v>
      </c>
      <c r="V58">
        <v>2.7</v>
      </c>
      <c r="W58">
        <v>885</v>
      </c>
      <c r="X58" s="26" t="b">
        <f t="shared" si="0"/>
        <v>0</v>
      </c>
      <c r="Y58" s="26" t="b">
        <f t="shared" si="1"/>
        <v>0</v>
      </c>
      <c r="Z58" s="26" t="b">
        <f t="shared" si="2"/>
        <v>1</v>
      </c>
      <c r="AA58" s="26" t="b">
        <f t="shared" si="3"/>
        <v>1</v>
      </c>
      <c r="AB58" s="26" t="b">
        <f t="shared" si="4"/>
        <v>1</v>
      </c>
      <c r="AC58" s="26" t="b">
        <f t="shared" si="5"/>
        <v>1</v>
      </c>
      <c r="AD58" s="26" t="b">
        <f t="shared" si="6"/>
        <v>0</v>
      </c>
      <c r="AE58" s="26" t="b">
        <f t="shared" ca="1" si="7"/>
        <v>1</v>
      </c>
    </row>
    <row r="59" spans="1:31" x14ac:dyDescent="0.3">
      <c r="A59" t="s">
        <v>80</v>
      </c>
      <c r="B59">
        <v>23</v>
      </c>
      <c r="C59">
        <v>7</v>
      </c>
      <c r="D59">
        <v>2.4</v>
      </c>
      <c r="E59">
        <v>4</v>
      </c>
      <c r="F59">
        <v>62517</v>
      </c>
      <c r="G59" t="s">
        <v>223</v>
      </c>
      <c r="H59">
        <v>353</v>
      </c>
      <c r="I59" t="s">
        <v>225</v>
      </c>
      <c r="J59" s="2">
        <v>45880</v>
      </c>
      <c r="K59" t="s">
        <v>223</v>
      </c>
      <c r="L59" t="s">
        <v>223</v>
      </c>
      <c r="M59" t="s">
        <v>228</v>
      </c>
      <c r="N59" s="2">
        <v>45869</v>
      </c>
      <c r="O59" t="s">
        <v>230</v>
      </c>
      <c r="P59" t="s">
        <v>224</v>
      </c>
      <c r="Q59" t="s">
        <v>224</v>
      </c>
      <c r="R59">
        <v>14571</v>
      </c>
      <c r="S59" t="s">
        <v>224</v>
      </c>
      <c r="T59" t="s">
        <v>232</v>
      </c>
      <c r="U59">
        <v>7.55</v>
      </c>
      <c r="V59">
        <v>0.6</v>
      </c>
      <c r="W59">
        <v>940</v>
      </c>
      <c r="X59" s="26" t="b">
        <f t="shared" si="0"/>
        <v>0</v>
      </c>
      <c r="Y59" s="26" t="b">
        <f t="shared" si="1"/>
        <v>0</v>
      </c>
      <c r="Z59" s="26" t="b">
        <f t="shared" si="2"/>
        <v>0</v>
      </c>
      <c r="AA59" s="26" t="b">
        <f t="shared" si="3"/>
        <v>0</v>
      </c>
      <c r="AB59" s="26" t="b">
        <f t="shared" si="4"/>
        <v>0</v>
      </c>
      <c r="AC59" s="26" t="b">
        <f t="shared" si="5"/>
        <v>1</v>
      </c>
      <c r="AD59" s="26" t="b">
        <f t="shared" si="6"/>
        <v>0</v>
      </c>
      <c r="AE59" s="26" t="b">
        <f t="shared" ca="1" si="7"/>
        <v>0</v>
      </c>
    </row>
    <row r="60" spans="1:31" x14ac:dyDescent="0.3">
      <c r="A60" t="s">
        <v>81</v>
      </c>
      <c r="B60">
        <v>13</v>
      </c>
      <c r="C60">
        <v>4</v>
      </c>
      <c r="D60">
        <v>3.7</v>
      </c>
      <c r="E60">
        <v>6.1</v>
      </c>
      <c r="F60">
        <v>89066</v>
      </c>
      <c r="G60" t="s">
        <v>224</v>
      </c>
      <c r="H60">
        <v>346</v>
      </c>
      <c r="I60" t="s">
        <v>225</v>
      </c>
      <c r="J60" s="2">
        <v>45865</v>
      </c>
      <c r="K60" t="s">
        <v>223</v>
      </c>
      <c r="L60" t="s">
        <v>223</v>
      </c>
      <c r="M60" t="s">
        <v>227</v>
      </c>
      <c r="N60" s="2">
        <v>45864</v>
      </c>
      <c r="O60" t="s">
        <v>229</v>
      </c>
      <c r="P60" t="s">
        <v>223</v>
      </c>
      <c r="Q60" t="s">
        <v>224</v>
      </c>
      <c r="R60">
        <v>10484</v>
      </c>
      <c r="S60" t="s">
        <v>224</v>
      </c>
      <c r="T60" t="s">
        <v>232</v>
      </c>
      <c r="U60">
        <v>0.08</v>
      </c>
      <c r="V60">
        <v>3.7</v>
      </c>
      <c r="W60">
        <v>679</v>
      </c>
      <c r="X60" s="26" t="b">
        <f t="shared" si="0"/>
        <v>0</v>
      </c>
      <c r="Y60" s="26" t="b">
        <f t="shared" si="1"/>
        <v>0</v>
      </c>
      <c r="Z60" s="26" t="b">
        <f t="shared" si="2"/>
        <v>1</v>
      </c>
      <c r="AA60" s="26" t="b">
        <f t="shared" si="3"/>
        <v>1</v>
      </c>
      <c r="AB60" s="26" t="b">
        <f t="shared" si="4"/>
        <v>0</v>
      </c>
      <c r="AC60" s="26" t="b">
        <f t="shared" si="5"/>
        <v>1</v>
      </c>
      <c r="AD60" s="26" t="b">
        <f t="shared" si="6"/>
        <v>0</v>
      </c>
      <c r="AE60" s="26" t="b">
        <f t="shared" ca="1" si="7"/>
        <v>0</v>
      </c>
    </row>
    <row r="61" spans="1:31" x14ac:dyDescent="0.3">
      <c r="A61" t="s">
        <v>82</v>
      </c>
      <c r="B61">
        <v>14</v>
      </c>
      <c r="C61">
        <v>6</v>
      </c>
      <c r="D61">
        <v>3.1</v>
      </c>
      <c r="E61">
        <v>2.7</v>
      </c>
      <c r="F61">
        <v>93233</v>
      </c>
      <c r="G61" t="s">
        <v>224</v>
      </c>
      <c r="H61">
        <v>373</v>
      </c>
      <c r="I61" t="s">
        <v>226</v>
      </c>
      <c r="J61" s="2">
        <v>45835</v>
      </c>
      <c r="K61" t="s">
        <v>223</v>
      </c>
      <c r="L61" t="s">
        <v>224</v>
      </c>
      <c r="M61" t="s">
        <v>227</v>
      </c>
      <c r="N61" s="2">
        <v>45869</v>
      </c>
      <c r="O61" t="s">
        <v>229</v>
      </c>
      <c r="P61" t="s">
        <v>224</v>
      </c>
      <c r="Q61" t="s">
        <v>224</v>
      </c>
      <c r="R61">
        <v>19789</v>
      </c>
      <c r="S61" t="s">
        <v>224</v>
      </c>
      <c r="T61" t="s">
        <v>231</v>
      </c>
      <c r="U61">
        <v>2.9</v>
      </c>
      <c r="V61">
        <v>2</v>
      </c>
      <c r="W61">
        <v>1489</v>
      </c>
      <c r="X61" s="26" t="b">
        <f t="shared" si="0"/>
        <v>0</v>
      </c>
      <c r="Y61" s="26" t="b">
        <f t="shared" si="1"/>
        <v>0</v>
      </c>
      <c r="Z61" s="26" t="b">
        <f t="shared" si="2"/>
        <v>1</v>
      </c>
      <c r="AA61" s="26" t="b">
        <f t="shared" si="3"/>
        <v>1</v>
      </c>
      <c r="AB61" s="26" t="b">
        <f t="shared" si="4"/>
        <v>0</v>
      </c>
      <c r="AC61" s="26" t="b">
        <f t="shared" si="5"/>
        <v>0</v>
      </c>
      <c r="AD61" s="26" t="b">
        <f t="shared" si="6"/>
        <v>0</v>
      </c>
      <c r="AE61" s="26" t="b">
        <f t="shared" ca="1" si="7"/>
        <v>1</v>
      </c>
    </row>
    <row r="62" spans="1:31" x14ac:dyDescent="0.3">
      <c r="A62" t="s">
        <v>83</v>
      </c>
      <c r="B62">
        <v>20</v>
      </c>
      <c r="C62">
        <v>2</v>
      </c>
      <c r="D62">
        <v>4.2</v>
      </c>
      <c r="E62">
        <v>6.4</v>
      </c>
      <c r="F62">
        <v>67428</v>
      </c>
      <c r="G62" t="s">
        <v>223</v>
      </c>
      <c r="H62">
        <v>747</v>
      </c>
      <c r="I62" t="s">
        <v>225</v>
      </c>
      <c r="J62" s="2">
        <v>45875</v>
      </c>
      <c r="K62" t="s">
        <v>224</v>
      </c>
      <c r="L62" t="s">
        <v>224</v>
      </c>
      <c r="M62" t="s">
        <v>227</v>
      </c>
      <c r="N62" s="2">
        <v>45867</v>
      </c>
      <c r="O62" t="s">
        <v>230</v>
      </c>
      <c r="P62" t="s">
        <v>224</v>
      </c>
      <c r="Q62" t="s">
        <v>223</v>
      </c>
      <c r="R62">
        <v>11913</v>
      </c>
      <c r="S62" t="s">
        <v>223</v>
      </c>
      <c r="T62" t="s">
        <v>232</v>
      </c>
      <c r="U62">
        <v>5.0999999999999996</v>
      </c>
      <c r="V62">
        <v>0.6</v>
      </c>
      <c r="W62">
        <v>1022</v>
      </c>
      <c r="X62" s="26" t="b">
        <f t="shared" si="0"/>
        <v>0</v>
      </c>
      <c r="Y62" s="26" t="b">
        <f t="shared" si="1"/>
        <v>1</v>
      </c>
      <c r="Z62" s="26" t="b">
        <f t="shared" si="2"/>
        <v>0</v>
      </c>
      <c r="AA62" s="26" t="b">
        <f t="shared" si="3"/>
        <v>0</v>
      </c>
      <c r="AB62" s="26" t="b">
        <f t="shared" si="4"/>
        <v>0</v>
      </c>
      <c r="AC62" s="26" t="b">
        <f t="shared" si="5"/>
        <v>0</v>
      </c>
      <c r="AD62" s="26" t="b">
        <f t="shared" si="6"/>
        <v>0</v>
      </c>
      <c r="AE62" s="26" t="b">
        <f t="shared" ca="1" si="7"/>
        <v>1</v>
      </c>
    </row>
    <row r="63" spans="1:31" x14ac:dyDescent="0.3">
      <c r="A63" t="s">
        <v>84</v>
      </c>
      <c r="B63">
        <v>16</v>
      </c>
      <c r="C63">
        <v>5</v>
      </c>
      <c r="D63">
        <v>2.4</v>
      </c>
      <c r="E63">
        <v>9.6</v>
      </c>
      <c r="F63">
        <v>39358</v>
      </c>
      <c r="G63" t="s">
        <v>223</v>
      </c>
      <c r="H63">
        <v>405</v>
      </c>
      <c r="I63" t="s">
        <v>225</v>
      </c>
      <c r="J63" s="2">
        <v>45874</v>
      </c>
      <c r="K63" t="s">
        <v>223</v>
      </c>
      <c r="L63" t="s">
        <v>223</v>
      </c>
      <c r="M63" t="s">
        <v>227</v>
      </c>
      <c r="N63" s="2">
        <v>45857</v>
      </c>
      <c r="O63" t="s">
        <v>229</v>
      </c>
      <c r="P63" t="s">
        <v>224</v>
      </c>
      <c r="Q63" t="s">
        <v>224</v>
      </c>
      <c r="R63">
        <v>19472</v>
      </c>
      <c r="S63" t="s">
        <v>224</v>
      </c>
      <c r="T63" t="s">
        <v>231</v>
      </c>
      <c r="U63">
        <v>8.64</v>
      </c>
      <c r="V63">
        <v>3.1</v>
      </c>
      <c r="W63">
        <v>654</v>
      </c>
      <c r="X63" s="26" t="b">
        <f t="shared" si="0"/>
        <v>0</v>
      </c>
      <c r="Y63" s="26" t="b">
        <f t="shared" si="1"/>
        <v>0</v>
      </c>
      <c r="Z63" s="26" t="b">
        <f t="shared" si="2"/>
        <v>0</v>
      </c>
      <c r="AA63" s="26" t="b">
        <f t="shared" si="3"/>
        <v>1</v>
      </c>
      <c r="AB63" s="26" t="b">
        <f t="shared" si="4"/>
        <v>0</v>
      </c>
      <c r="AC63" s="26" t="b">
        <f t="shared" si="5"/>
        <v>1</v>
      </c>
      <c r="AD63" s="26" t="b">
        <f t="shared" si="6"/>
        <v>0</v>
      </c>
      <c r="AE63" s="26" t="b">
        <f t="shared" ca="1" si="7"/>
        <v>1</v>
      </c>
    </row>
    <row r="64" spans="1:31" x14ac:dyDescent="0.3">
      <c r="A64" t="s">
        <v>85</v>
      </c>
      <c r="B64">
        <v>24</v>
      </c>
      <c r="C64">
        <v>1</v>
      </c>
      <c r="D64">
        <v>2.9</v>
      </c>
      <c r="E64">
        <v>6.5</v>
      </c>
      <c r="F64">
        <v>56002</v>
      </c>
      <c r="G64" t="s">
        <v>223</v>
      </c>
      <c r="H64">
        <v>660</v>
      </c>
      <c r="I64" t="s">
        <v>225</v>
      </c>
      <c r="J64" s="2">
        <v>45871</v>
      </c>
      <c r="K64" t="s">
        <v>224</v>
      </c>
      <c r="L64" t="s">
        <v>224</v>
      </c>
      <c r="M64" t="s">
        <v>227</v>
      </c>
      <c r="N64" s="2">
        <v>45856</v>
      </c>
      <c r="O64" t="s">
        <v>230</v>
      </c>
      <c r="P64" t="s">
        <v>224</v>
      </c>
      <c r="Q64" t="s">
        <v>223</v>
      </c>
      <c r="R64">
        <v>3958</v>
      </c>
      <c r="S64" t="s">
        <v>224</v>
      </c>
      <c r="T64" t="s">
        <v>231</v>
      </c>
      <c r="U64">
        <v>5.8</v>
      </c>
      <c r="V64">
        <v>4.8</v>
      </c>
      <c r="W64">
        <v>1256</v>
      </c>
      <c r="X64" s="26" t="b">
        <f t="shared" si="0"/>
        <v>1</v>
      </c>
      <c r="Y64" s="26" t="b">
        <f t="shared" si="1"/>
        <v>0</v>
      </c>
      <c r="Z64" s="26" t="b">
        <f t="shared" si="2"/>
        <v>0</v>
      </c>
      <c r="AA64" s="26" t="b">
        <f t="shared" si="3"/>
        <v>0</v>
      </c>
      <c r="AB64" s="26" t="b">
        <f t="shared" si="4"/>
        <v>0</v>
      </c>
      <c r="AC64" s="26" t="b">
        <f t="shared" si="5"/>
        <v>0</v>
      </c>
      <c r="AD64" s="26" t="b">
        <f t="shared" si="6"/>
        <v>0</v>
      </c>
      <c r="AE64" s="26" t="b">
        <f t="shared" ca="1" si="7"/>
        <v>1</v>
      </c>
    </row>
    <row r="65" spans="1:31" x14ac:dyDescent="0.3">
      <c r="A65" t="s">
        <v>86</v>
      </c>
      <c r="B65">
        <v>11</v>
      </c>
      <c r="C65">
        <v>7</v>
      </c>
      <c r="D65">
        <v>4.5999999999999996</v>
      </c>
      <c r="E65">
        <v>5.9</v>
      </c>
      <c r="F65">
        <v>44672</v>
      </c>
      <c r="G65" t="s">
        <v>224</v>
      </c>
      <c r="H65">
        <v>787</v>
      </c>
      <c r="I65" t="s">
        <v>225</v>
      </c>
      <c r="J65" s="2">
        <v>45887</v>
      </c>
      <c r="K65" t="s">
        <v>224</v>
      </c>
      <c r="L65" t="s">
        <v>223</v>
      </c>
      <c r="M65" t="s">
        <v>228</v>
      </c>
      <c r="N65" s="2">
        <v>45857</v>
      </c>
      <c r="O65" t="s">
        <v>229</v>
      </c>
      <c r="P65" t="s">
        <v>223</v>
      </c>
      <c r="Q65" t="s">
        <v>223</v>
      </c>
      <c r="R65">
        <v>15344</v>
      </c>
      <c r="S65" t="s">
        <v>224</v>
      </c>
      <c r="T65" t="s">
        <v>232</v>
      </c>
      <c r="U65">
        <v>3.64</v>
      </c>
      <c r="V65">
        <v>4.5999999999999996</v>
      </c>
      <c r="W65">
        <v>896</v>
      </c>
      <c r="X65" s="26" t="b">
        <f t="shared" si="0"/>
        <v>0</v>
      </c>
      <c r="Y65" s="26" t="b">
        <f t="shared" si="1"/>
        <v>1</v>
      </c>
      <c r="Z65" s="26" t="b">
        <f t="shared" si="2"/>
        <v>0</v>
      </c>
      <c r="AA65" s="26" t="b">
        <f t="shared" si="3"/>
        <v>0</v>
      </c>
      <c r="AB65" s="26" t="b">
        <f t="shared" si="4"/>
        <v>0</v>
      </c>
      <c r="AC65" s="26" t="b">
        <f t="shared" si="5"/>
        <v>1</v>
      </c>
      <c r="AD65" s="26" t="b">
        <f t="shared" si="6"/>
        <v>0</v>
      </c>
      <c r="AE65" s="26" t="b">
        <f t="shared" ca="1" si="7"/>
        <v>1</v>
      </c>
    </row>
    <row r="66" spans="1:31" x14ac:dyDescent="0.3">
      <c r="A66" t="s">
        <v>87</v>
      </c>
      <c r="B66">
        <v>23</v>
      </c>
      <c r="C66">
        <v>5</v>
      </c>
      <c r="D66">
        <v>3.7</v>
      </c>
      <c r="E66">
        <v>1</v>
      </c>
      <c r="F66">
        <v>63863</v>
      </c>
      <c r="G66" t="s">
        <v>223</v>
      </c>
      <c r="H66">
        <v>637</v>
      </c>
      <c r="I66" t="s">
        <v>225</v>
      </c>
      <c r="J66" s="2">
        <v>45855</v>
      </c>
      <c r="K66" t="s">
        <v>224</v>
      </c>
      <c r="L66" t="s">
        <v>224</v>
      </c>
      <c r="M66" t="s">
        <v>228</v>
      </c>
      <c r="N66" s="2">
        <v>45859</v>
      </c>
      <c r="O66" t="s">
        <v>230</v>
      </c>
      <c r="P66" t="s">
        <v>223</v>
      </c>
      <c r="Q66" t="s">
        <v>223</v>
      </c>
      <c r="R66">
        <v>12462</v>
      </c>
      <c r="S66" t="s">
        <v>224</v>
      </c>
      <c r="T66" t="s">
        <v>231</v>
      </c>
      <c r="U66">
        <v>1.29</v>
      </c>
      <c r="V66">
        <v>3.5</v>
      </c>
      <c r="W66">
        <v>586</v>
      </c>
      <c r="X66" s="26" t="b">
        <f t="shared" si="0"/>
        <v>0</v>
      </c>
      <c r="Y66" s="26" t="b">
        <f t="shared" si="1"/>
        <v>0</v>
      </c>
      <c r="Z66" s="26" t="b">
        <f t="shared" si="2"/>
        <v>0</v>
      </c>
      <c r="AA66" s="26" t="b">
        <f t="shared" si="3"/>
        <v>0</v>
      </c>
      <c r="AB66" s="26" t="b">
        <f t="shared" si="4"/>
        <v>0</v>
      </c>
      <c r="AC66" s="26" t="b">
        <f t="shared" si="5"/>
        <v>1</v>
      </c>
      <c r="AD66" s="26" t="b">
        <f t="shared" si="6"/>
        <v>0</v>
      </c>
      <c r="AE66" s="26" t="b">
        <f t="shared" ca="1" si="7"/>
        <v>1</v>
      </c>
    </row>
    <row r="67" spans="1:31" x14ac:dyDescent="0.3">
      <c r="A67" t="s">
        <v>88</v>
      </c>
      <c r="B67">
        <v>19</v>
      </c>
      <c r="C67">
        <v>8</v>
      </c>
      <c r="D67">
        <v>2.5</v>
      </c>
      <c r="E67">
        <v>8</v>
      </c>
      <c r="F67">
        <v>36750</v>
      </c>
      <c r="G67" t="s">
        <v>223</v>
      </c>
      <c r="H67">
        <v>733</v>
      </c>
      <c r="I67" t="s">
        <v>226</v>
      </c>
      <c r="J67" s="2">
        <v>45889</v>
      </c>
      <c r="K67" t="s">
        <v>224</v>
      </c>
      <c r="L67" t="s">
        <v>224</v>
      </c>
      <c r="M67" t="s">
        <v>227</v>
      </c>
      <c r="N67" s="2">
        <v>45861</v>
      </c>
      <c r="O67" t="s">
        <v>230</v>
      </c>
      <c r="P67" t="s">
        <v>224</v>
      </c>
      <c r="Q67" t="s">
        <v>223</v>
      </c>
      <c r="R67">
        <v>8423</v>
      </c>
      <c r="S67" t="s">
        <v>223</v>
      </c>
      <c r="T67" t="s">
        <v>232</v>
      </c>
      <c r="U67">
        <v>0.77</v>
      </c>
      <c r="V67">
        <v>4.2</v>
      </c>
      <c r="W67">
        <v>603</v>
      </c>
      <c r="X67" s="26" t="b">
        <f t="shared" ref="X67:X130" si="8">AND(B67&gt;20,C67&lt;=2)</f>
        <v>0</v>
      </c>
      <c r="Y67" s="26" t="b">
        <f t="shared" ref="Y67:Y130" si="9">AND(D67&gt;4,E67&gt;2)</f>
        <v>0</v>
      </c>
      <c r="Z67" s="26" t="b">
        <f t="shared" ref="Z67:Z130" si="10">AND(F67&gt;50000,OR(G67="No",H67&gt;750))</f>
        <v>0</v>
      </c>
      <c r="AA67" s="26" t="b">
        <f t="shared" ref="AA67:AA130" si="11">AND(OR(O67="Single", P67="Yes"), Q67="No")</f>
        <v>0</v>
      </c>
      <c r="AB67" s="26" t="b">
        <f t="shared" ref="AB67:AB130" si="12">AND(R67&lt;10000,OR(S67="Yes",T67="Pre-approved"))</f>
        <v>1</v>
      </c>
      <c r="AC67" s="26" t="b">
        <f t="shared" ref="AC67:AC130" si="13">AND(OR(U67&gt;5,V67&gt;2),W67&lt;1000)</f>
        <v>1</v>
      </c>
      <c r="AD67" s="26" t="b">
        <f t="shared" ref="AD67:AD130" si="14">OR(E67&lt;1,D67&lt;2)</f>
        <v>0</v>
      </c>
      <c r="AE67" s="26" t="b">
        <f t="shared" ref="AE67:AE130" ca="1" si="15">OR(AND(M67&lt;&gt;"VIP", L67&lt;&gt;"Yes"), N67&lt;TODAY())</f>
        <v>1</v>
      </c>
    </row>
    <row r="68" spans="1:31" x14ac:dyDescent="0.3">
      <c r="A68" t="s">
        <v>89</v>
      </c>
      <c r="B68">
        <v>26</v>
      </c>
      <c r="C68">
        <v>8</v>
      </c>
      <c r="D68">
        <v>4.3</v>
      </c>
      <c r="E68">
        <v>8.9</v>
      </c>
      <c r="F68">
        <v>24947</v>
      </c>
      <c r="G68" t="s">
        <v>224</v>
      </c>
      <c r="H68">
        <v>434</v>
      </c>
      <c r="I68" t="s">
        <v>226</v>
      </c>
      <c r="J68" s="2">
        <v>45881</v>
      </c>
      <c r="K68" t="s">
        <v>223</v>
      </c>
      <c r="L68" t="s">
        <v>223</v>
      </c>
      <c r="M68" t="s">
        <v>227</v>
      </c>
      <c r="N68" s="2">
        <v>45869</v>
      </c>
      <c r="O68" t="s">
        <v>229</v>
      </c>
      <c r="P68" t="s">
        <v>224</v>
      </c>
      <c r="Q68" t="s">
        <v>224</v>
      </c>
      <c r="R68">
        <v>8783</v>
      </c>
      <c r="S68" t="s">
        <v>224</v>
      </c>
      <c r="T68" t="s">
        <v>231</v>
      </c>
      <c r="U68">
        <v>7.52</v>
      </c>
      <c r="V68">
        <v>3.9</v>
      </c>
      <c r="W68">
        <v>739</v>
      </c>
      <c r="X68" s="26" t="b">
        <f t="shared" si="8"/>
        <v>0</v>
      </c>
      <c r="Y68" s="26" t="b">
        <f t="shared" si="9"/>
        <v>1</v>
      </c>
      <c r="Z68" s="26" t="b">
        <f t="shared" si="10"/>
        <v>0</v>
      </c>
      <c r="AA68" s="26" t="b">
        <f t="shared" si="11"/>
        <v>1</v>
      </c>
      <c r="AB68" s="26" t="b">
        <f t="shared" si="12"/>
        <v>0</v>
      </c>
      <c r="AC68" s="26" t="b">
        <f t="shared" si="13"/>
        <v>1</v>
      </c>
      <c r="AD68" s="26" t="b">
        <f t="shared" si="14"/>
        <v>0</v>
      </c>
      <c r="AE68" s="26" t="b">
        <f t="shared" ca="1" si="15"/>
        <v>0</v>
      </c>
    </row>
    <row r="69" spans="1:31" x14ac:dyDescent="0.3">
      <c r="A69" t="s">
        <v>90</v>
      </c>
      <c r="B69">
        <v>27</v>
      </c>
      <c r="C69">
        <v>3</v>
      </c>
      <c r="D69">
        <v>2.2000000000000002</v>
      </c>
      <c r="E69">
        <v>8.1999999999999993</v>
      </c>
      <c r="F69">
        <v>81474</v>
      </c>
      <c r="G69" t="s">
        <v>223</v>
      </c>
      <c r="H69">
        <v>676</v>
      </c>
      <c r="I69" t="s">
        <v>226</v>
      </c>
      <c r="J69" s="2">
        <v>45861</v>
      </c>
      <c r="K69" t="s">
        <v>224</v>
      </c>
      <c r="L69" t="s">
        <v>224</v>
      </c>
      <c r="M69" t="s">
        <v>228</v>
      </c>
      <c r="N69" s="2">
        <v>45860</v>
      </c>
      <c r="O69" t="s">
        <v>229</v>
      </c>
      <c r="P69" t="s">
        <v>223</v>
      </c>
      <c r="Q69" t="s">
        <v>224</v>
      </c>
      <c r="R69">
        <v>2709</v>
      </c>
      <c r="S69" t="s">
        <v>224</v>
      </c>
      <c r="T69" t="s">
        <v>231</v>
      </c>
      <c r="U69">
        <v>5.55</v>
      </c>
      <c r="V69">
        <v>0.5</v>
      </c>
      <c r="W69">
        <v>1366</v>
      </c>
      <c r="X69" s="26" t="b">
        <f t="shared" si="8"/>
        <v>0</v>
      </c>
      <c r="Y69" s="26" t="b">
        <f t="shared" si="9"/>
        <v>0</v>
      </c>
      <c r="Z69" s="26" t="b">
        <f t="shared" si="10"/>
        <v>0</v>
      </c>
      <c r="AA69" s="26" t="b">
        <f t="shared" si="11"/>
        <v>1</v>
      </c>
      <c r="AB69" s="26" t="b">
        <f t="shared" si="12"/>
        <v>0</v>
      </c>
      <c r="AC69" s="26" t="b">
        <f t="shared" si="13"/>
        <v>0</v>
      </c>
      <c r="AD69" s="26" t="b">
        <f t="shared" si="14"/>
        <v>0</v>
      </c>
      <c r="AE69" s="26" t="b">
        <f t="shared" ca="1" si="15"/>
        <v>1</v>
      </c>
    </row>
    <row r="70" spans="1:31" x14ac:dyDescent="0.3">
      <c r="A70" t="s">
        <v>91</v>
      </c>
      <c r="B70">
        <v>26</v>
      </c>
      <c r="C70">
        <v>1</v>
      </c>
      <c r="D70">
        <v>2.1</v>
      </c>
      <c r="E70">
        <v>7.7</v>
      </c>
      <c r="F70">
        <v>55755</v>
      </c>
      <c r="G70" t="s">
        <v>224</v>
      </c>
      <c r="H70">
        <v>825</v>
      </c>
      <c r="I70" t="s">
        <v>225</v>
      </c>
      <c r="J70" s="2">
        <v>45837</v>
      </c>
      <c r="K70" t="s">
        <v>224</v>
      </c>
      <c r="L70" t="s">
        <v>223</v>
      </c>
      <c r="M70" t="s">
        <v>227</v>
      </c>
      <c r="N70" s="2">
        <v>45869</v>
      </c>
      <c r="O70" t="s">
        <v>230</v>
      </c>
      <c r="P70" t="s">
        <v>223</v>
      </c>
      <c r="Q70" t="s">
        <v>224</v>
      </c>
      <c r="R70">
        <v>2745</v>
      </c>
      <c r="S70" t="s">
        <v>224</v>
      </c>
      <c r="T70" t="s">
        <v>231</v>
      </c>
      <c r="U70">
        <v>2.36</v>
      </c>
      <c r="V70">
        <v>5</v>
      </c>
      <c r="W70">
        <v>883</v>
      </c>
      <c r="X70" s="26" t="b">
        <f t="shared" si="8"/>
        <v>1</v>
      </c>
      <c r="Y70" s="26" t="b">
        <f t="shared" si="9"/>
        <v>0</v>
      </c>
      <c r="Z70" s="26" t="b">
        <f t="shared" si="10"/>
        <v>1</v>
      </c>
      <c r="AA70" s="26" t="b">
        <f t="shared" si="11"/>
        <v>1</v>
      </c>
      <c r="AB70" s="26" t="b">
        <f t="shared" si="12"/>
        <v>0</v>
      </c>
      <c r="AC70" s="26" t="b">
        <f t="shared" si="13"/>
        <v>1</v>
      </c>
      <c r="AD70" s="26" t="b">
        <f t="shared" si="14"/>
        <v>0</v>
      </c>
      <c r="AE70" s="26" t="b">
        <f t="shared" ca="1" si="15"/>
        <v>0</v>
      </c>
    </row>
    <row r="71" spans="1:31" x14ac:dyDescent="0.3">
      <c r="A71" t="s">
        <v>92</v>
      </c>
      <c r="B71">
        <v>17</v>
      </c>
      <c r="C71">
        <v>0</v>
      </c>
      <c r="D71">
        <v>2.2999999999999998</v>
      </c>
      <c r="E71">
        <v>1.4</v>
      </c>
      <c r="F71">
        <v>63947</v>
      </c>
      <c r="G71" t="s">
        <v>223</v>
      </c>
      <c r="H71">
        <v>440</v>
      </c>
      <c r="I71" t="s">
        <v>225</v>
      </c>
      <c r="J71" s="2">
        <v>45872</v>
      </c>
      <c r="K71" t="s">
        <v>224</v>
      </c>
      <c r="L71" t="s">
        <v>223</v>
      </c>
      <c r="M71" t="s">
        <v>228</v>
      </c>
      <c r="N71" s="2">
        <v>45869</v>
      </c>
      <c r="O71" t="s">
        <v>229</v>
      </c>
      <c r="P71" t="s">
        <v>223</v>
      </c>
      <c r="Q71" t="s">
        <v>223</v>
      </c>
      <c r="R71">
        <v>9386</v>
      </c>
      <c r="S71" t="s">
        <v>223</v>
      </c>
      <c r="T71" t="s">
        <v>232</v>
      </c>
      <c r="U71">
        <v>5.49</v>
      </c>
      <c r="V71">
        <v>3.6</v>
      </c>
      <c r="W71">
        <v>1040</v>
      </c>
      <c r="X71" s="26" t="b">
        <f t="shared" si="8"/>
        <v>0</v>
      </c>
      <c r="Y71" s="26" t="b">
        <f t="shared" si="9"/>
        <v>0</v>
      </c>
      <c r="Z71" s="26" t="b">
        <f t="shared" si="10"/>
        <v>0</v>
      </c>
      <c r="AA71" s="26" t="b">
        <f t="shared" si="11"/>
        <v>0</v>
      </c>
      <c r="AB71" s="26" t="b">
        <f t="shared" si="12"/>
        <v>1</v>
      </c>
      <c r="AC71" s="26" t="b">
        <f t="shared" si="13"/>
        <v>0</v>
      </c>
      <c r="AD71" s="26" t="b">
        <f t="shared" si="14"/>
        <v>0</v>
      </c>
      <c r="AE71" s="26" t="b">
        <f t="shared" ca="1" si="15"/>
        <v>0</v>
      </c>
    </row>
    <row r="72" spans="1:31" x14ac:dyDescent="0.3">
      <c r="A72" t="s">
        <v>93</v>
      </c>
      <c r="B72">
        <v>23</v>
      </c>
      <c r="C72">
        <v>1</v>
      </c>
      <c r="D72">
        <v>4.0999999999999996</v>
      </c>
      <c r="E72">
        <v>2.8</v>
      </c>
      <c r="F72">
        <v>35970</v>
      </c>
      <c r="G72" t="s">
        <v>223</v>
      </c>
      <c r="H72">
        <v>544</v>
      </c>
      <c r="I72" t="s">
        <v>226</v>
      </c>
      <c r="J72" s="2">
        <v>45850</v>
      </c>
      <c r="K72" t="s">
        <v>224</v>
      </c>
      <c r="L72" t="s">
        <v>223</v>
      </c>
      <c r="M72" t="s">
        <v>227</v>
      </c>
      <c r="N72" s="2">
        <v>45870</v>
      </c>
      <c r="O72" t="s">
        <v>229</v>
      </c>
      <c r="P72" t="s">
        <v>223</v>
      </c>
      <c r="Q72" t="s">
        <v>223</v>
      </c>
      <c r="R72">
        <v>10544</v>
      </c>
      <c r="S72" t="s">
        <v>224</v>
      </c>
      <c r="T72" t="s">
        <v>232</v>
      </c>
      <c r="U72">
        <v>6.15</v>
      </c>
      <c r="V72">
        <v>1.2</v>
      </c>
      <c r="W72">
        <v>926</v>
      </c>
      <c r="X72" s="26" t="b">
        <f t="shared" si="8"/>
        <v>1</v>
      </c>
      <c r="Y72" s="26" t="b">
        <f t="shared" si="9"/>
        <v>1</v>
      </c>
      <c r="Z72" s="26" t="b">
        <f t="shared" si="10"/>
        <v>0</v>
      </c>
      <c r="AA72" s="26" t="b">
        <f t="shared" si="11"/>
        <v>0</v>
      </c>
      <c r="AB72" s="26" t="b">
        <f t="shared" si="12"/>
        <v>0</v>
      </c>
      <c r="AC72" s="26" t="b">
        <f t="shared" si="13"/>
        <v>1</v>
      </c>
      <c r="AD72" s="26" t="b">
        <f t="shared" si="14"/>
        <v>0</v>
      </c>
      <c r="AE72" s="26" t="b">
        <f t="shared" ca="1" si="15"/>
        <v>0</v>
      </c>
    </row>
    <row r="73" spans="1:31" x14ac:dyDescent="0.3">
      <c r="A73" t="s">
        <v>94</v>
      </c>
      <c r="B73">
        <v>15</v>
      </c>
      <c r="C73">
        <v>10</v>
      </c>
      <c r="D73">
        <v>3.7</v>
      </c>
      <c r="E73">
        <v>5.5</v>
      </c>
      <c r="F73">
        <v>67265</v>
      </c>
      <c r="G73" t="s">
        <v>223</v>
      </c>
      <c r="H73">
        <v>838</v>
      </c>
      <c r="I73" t="s">
        <v>225</v>
      </c>
      <c r="J73" s="2">
        <v>45866</v>
      </c>
      <c r="K73" t="s">
        <v>224</v>
      </c>
      <c r="L73" t="s">
        <v>223</v>
      </c>
      <c r="M73" t="s">
        <v>228</v>
      </c>
      <c r="N73" s="2">
        <v>45866</v>
      </c>
      <c r="O73" t="s">
        <v>230</v>
      </c>
      <c r="P73" t="s">
        <v>223</v>
      </c>
      <c r="Q73" t="s">
        <v>224</v>
      </c>
      <c r="R73">
        <v>3213</v>
      </c>
      <c r="S73" t="s">
        <v>224</v>
      </c>
      <c r="T73" t="s">
        <v>232</v>
      </c>
      <c r="U73">
        <v>7.33</v>
      </c>
      <c r="V73">
        <v>3.1</v>
      </c>
      <c r="W73">
        <v>1290</v>
      </c>
      <c r="X73" s="26" t="b">
        <f t="shared" si="8"/>
        <v>0</v>
      </c>
      <c r="Y73" s="26" t="b">
        <f t="shared" si="9"/>
        <v>0</v>
      </c>
      <c r="Z73" s="26" t="b">
        <f t="shared" si="10"/>
        <v>1</v>
      </c>
      <c r="AA73" s="26" t="b">
        <f t="shared" si="11"/>
        <v>1</v>
      </c>
      <c r="AB73" s="26" t="b">
        <f t="shared" si="12"/>
        <v>1</v>
      </c>
      <c r="AC73" s="26" t="b">
        <f t="shared" si="13"/>
        <v>0</v>
      </c>
      <c r="AD73" s="26" t="b">
        <f t="shared" si="14"/>
        <v>0</v>
      </c>
      <c r="AE73" s="26" t="b">
        <f t="shared" ca="1" si="15"/>
        <v>0</v>
      </c>
    </row>
    <row r="74" spans="1:31" x14ac:dyDescent="0.3">
      <c r="A74" t="s">
        <v>95</v>
      </c>
      <c r="B74">
        <v>28</v>
      </c>
      <c r="C74">
        <v>5</v>
      </c>
      <c r="D74">
        <v>1.5</v>
      </c>
      <c r="E74">
        <v>3.8</v>
      </c>
      <c r="F74">
        <v>64374</v>
      </c>
      <c r="G74" t="s">
        <v>223</v>
      </c>
      <c r="H74">
        <v>775</v>
      </c>
      <c r="I74" t="s">
        <v>226</v>
      </c>
      <c r="J74" s="2">
        <v>45850</v>
      </c>
      <c r="K74" t="s">
        <v>223</v>
      </c>
      <c r="L74" t="s">
        <v>223</v>
      </c>
      <c r="M74" t="s">
        <v>227</v>
      </c>
      <c r="N74" s="2">
        <v>45869</v>
      </c>
      <c r="O74" t="s">
        <v>229</v>
      </c>
      <c r="P74" t="s">
        <v>224</v>
      </c>
      <c r="Q74" t="s">
        <v>223</v>
      </c>
      <c r="R74">
        <v>2435</v>
      </c>
      <c r="S74" t="s">
        <v>223</v>
      </c>
      <c r="T74" t="s">
        <v>232</v>
      </c>
      <c r="U74">
        <v>3.16</v>
      </c>
      <c r="V74">
        <v>1.6</v>
      </c>
      <c r="W74">
        <v>907</v>
      </c>
      <c r="X74" s="26" t="b">
        <f t="shared" si="8"/>
        <v>0</v>
      </c>
      <c r="Y74" s="26" t="b">
        <f t="shared" si="9"/>
        <v>0</v>
      </c>
      <c r="Z74" s="26" t="b">
        <f t="shared" si="10"/>
        <v>1</v>
      </c>
      <c r="AA74" s="26" t="b">
        <f t="shared" si="11"/>
        <v>0</v>
      </c>
      <c r="AB74" s="26" t="b">
        <f t="shared" si="12"/>
        <v>1</v>
      </c>
      <c r="AC74" s="26" t="b">
        <f t="shared" si="13"/>
        <v>0</v>
      </c>
      <c r="AD74" s="26" t="b">
        <f t="shared" si="14"/>
        <v>1</v>
      </c>
      <c r="AE74" s="26" t="b">
        <f t="shared" ca="1" si="15"/>
        <v>0</v>
      </c>
    </row>
    <row r="75" spans="1:31" x14ac:dyDescent="0.3">
      <c r="A75" t="s">
        <v>96</v>
      </c>
      <c r="B75">
        <v>27</v>
      </c>
      <c r="C75">
        <v>7</v>
      </c>
      <c r="D75">
        <v>2</v>
      </c>
      <c r="E75">
        <v>7.7</v>
      </c>
      <c r="F75">
        <v>45048</v>
      </c>
      <c r="G75" t="s">
        <v>224</v>
      </c>
      <c r="H75">
        <v>665</v>
      </c>
      <c r="I75" t="s">
        <v>225</v>
      </c>
      <c r="J75" s="2">
        <v>45835</v>
      </c>
      <c r="K75" t="s">
        <v>224</v>
      </c>
      <c r="L75" t="s">
        <v>224</v>
      </c>
      <c r="M75" t="s">
        <v>227</v>
      </c>
      <c r="N75" s="2">
        <v>45866</v>
      </c>
      <c r="O75" t="s">
        <v>230</v>
      </c>
      <c r="P75" t="s">
        <v>224</v>
      </c>
      <c r="Q75" t="s">
        <v>224</v>
      </c>
      <c r="R75">
        <v>13669</v>
      </c>
      <c r="S75" t="s">
        <v>224</v>
      </c>
      <c r="T75" t="s">
        <v>232</v>
      </c>
      <c r="U75">
        <v>4.96</v>
      </c>
      <c r="V75">
        <v>2.5</v>
      </c>
      <c r="W75">
        <v>1446</v>
      </c>
      <c r="X75" s="26" t="b">
        <f t="shared" si="8"/>
        <v>0</v>
      </c>
      <c r="Y75" s="26" t="b">
        <f t="shared" si="9"/>
        <v>0</v>
      </c>
      <c r="Z75" s="26" t="b">
        <f t="shared" si="10"/>
        <v>0</v>
      </c>
      <c r="AA75" s="26" t="b">
        <f t="shared" si="11"/>
        <v>0</v>
      </c>
      <c r="AB75" s="26" t="b">
        <f t="shared" si="12"/>
        <v>0</v>
      </c>
      <c r="AC75" s="26" t="b">
        <f t="shared" si="13"/>
        <v>0</v>
      </c>
      <c r="AD75" s="26" t="b">
        <f t="shared" si="14"/>
        <v>0</v>
      </c>
      <c r="AE75" s="26" t="b">
        <f t="shared" ca="1" si="15"/>
        <v>1</v>
      </c>
    </row>
    <row r="76" spans="1:31" x14ac:dyDescent="0.3">
      <c r="A76" t="s">
        <v>97</v>
      </c>
      <c r="B76">
        <v>26</v>
      </c>
      <c r="C76">
        <v>4</v>
      </c>
      <c r="D76">
        <v>4.2</v>
      </c>
      <c r="E76">
        <v>7.4</v>
      </c>
      <c r="F76">
        <v>30345</v>
      </c>
      <c r="G76" t="s">
        <v>224</v>
      </c>
      <c r="H76">
        <v>484</v>
      </c>
      <c r="I76" t="s">
        <v>226</v>
      </c>
      <c r="J76" s="2">
        <v>45870</v>
      </c>
      <c r="K76" t="s">
        <v>223</v>
      </c>
      <c r="L76" t="s">
        <v>223</v>
      </c>
      <c r="M76" t="s">
        <v>228</v>
      </c>
      <c r="N76" s="2">
        <v>45864</v>
      </c>
      <c r="O76" t="s">
        <v>230</v>
      </c>
      <c r="P76" t="s">
        <v>224</v>
      </c>
      <c r="Q76" t="s">
        <v>224</v>
      </c>
      <c r="R76">
        <v>6460</v>
      </c>
      <c r="S76" t="s">
        <v>224</v>
      </c>
      <c r="T76" t="s">
        <v>231</v>
      </c>
      <c r="U76">
        <v>4.47</v>
      </c>
      <c r="V76">
        <v>3.6</v>
      </c>
      <c r="W76">
        <v>1433</v>
      </c>
      <c r="X76" s="26" t="b">
        <f t="shared" si="8"/>
        <v>0</v>
      </c>
      <c r="Y76" s="26" t="b">
        <f t="shared" si="9"/>
        <v>1</v>
      </c>
      <c r="Z76" s="26" t="b">
        <f t="shared" si="10"/>
        <v>0</v>
      </c>
      <c r="AA76" s="26" t="b">
        <f t="shared" si="11"/>
        <v>0</v>
      </c>
      <c r="AB76" s="26" t="b">
        <f t="shared" si="12"/>
        <v>0</v>
      </c>
      <c r="AC76" s="26" t="b">
        <f t="shared" si="13"/>
        <v>0</v>
      </c>
      <c r="AD76" s="26" t="b">
        <f t="shared" si="14"/>
        <v>0</v>
      </c>
      <c r="AE76" s="26" t="b">
        <f t="shared" ca="1" si="15"/>
        <v>0</v>
      </c>
    </row>
    <row r="77" spans="1:31" x14ac:dyDescent="0.3">
      <c r="A77" t="s">
        <v>98</v>
      </c>
      <c r="B77">
        <v>21</v>
      </c>
      <c r="C77">
        <v>9</v>
      </c>
      <c r="D77">
        <v>5</v>
      </c>
      <c r="E77">
        <v>3.1</v>
      </c>
      <c r="F77">
        <v>27518</v>
      </c>
      <c r="G77" t="s">
        <v>223</v>
      </c>
      <c r="H77">
        <v>715</v>
      </c>
      <c r="I77" t="s">
        <v>226</v>
      </c>
      <c r="J77" s="2">
        <v>45858</v>
      </c>
      <c r="K77" t="s">
        <v>223</v>
      </c>
      <c r="L77" t="s">
        <v>223</v>
      </c>
      <c r="M77" t="s">
        <v>227</v>
      </c>
      <c r="N77" s="2">
        <v>45869</v>
      </c>
      <c r="O77" t="s">
        <v>229</v>
      </c>
      <c r="P77" t="s">
        <v>223</v>
      </c>
      <c r="Q77" t="s">
        <v>223</v>
      </c>
      <c r="R77">
        <v>8733</v>
      </c>
      <c r="S77" t="s">
        <v>224</v>
      </c>
      <c r="T77" t="s">
        <v>231</v>
      </c>
      <c r="U77">
        <v>3.83</v>
      </c>
      <c r="V77">
        <v>2.8</v>
      </c>
      <c r="W77">
        <v>1119</v>
      </c>
      <c r="X77" s="26" t="b">
        <f t="shared" si="8"/>
        <v>0</v>
      </c>
      <c r="Y77" s="26" t="b">
        <f t="shared" si="9"/>
        <v>1</v>
      </c>
      <c r="Z77" s="26" t="b">
        <f t="shared" si="10"/>
        <v>0</v>
      </c>
      <c r="AA77" s="26" t="b">
        <f t="shared" si="11"/>
        <v>0</v>
      </c>
      <c r="AB77" s="26" t="b">
        <f t="shared" si="12"/>
        <v>0</v>
      </c>
      <c r="AC77" s="26" t="b">
        <f t="shared" si="13"/>
        <v>0</v>
      </c>
      <c r="AD77" s="26" t="b">
        <f t="shared" si="14"/>
        <v>0</v>
      </c>
      <c r="AE77" s="26" t="b">
        <f t="shared" ca="1" si="15"/>
        <v>0</v>
      </c>
    </row>
    <row r="78" spans="1:31" x14ac:dyDescent="0.3">
      <c r="A78" t="s">
        <v>99</v>
      </c>
      <c r="B78">
        <v>14</v>
      </c>
      <c r="C78">
        <v>10</v>
      </c>
      <c r="D78">
        <v>2.8</v>
      </c>
      <c r="E78">
        <v>4</v>
      </c>
      <c r="F78">
        <v>78188</v>
      </c>
      <c r="G78" t="s">
        <v>223</v>
      </c>
      <c r="H78">
        <v>440</v>
      </c>
      <c r="I78" t="s">
        <v>226</v>
      </c>
      <c r="J78" s="2">
        <v>45865</v>
      </c>
      <c r="K78" t="s">
        <v>224</v>
      </c>
      <c r="L78" t="s">
        <v>224</v>
      </c>
      <c r="M78" t="s">
        <v>227</v>
      </c>
      <c r="N78" s="2">
        <v>45858</v>
      </c>
      <c r="O78" t="s">
        <v>229</v>
      </c>
      <c r="P78" t="s">
        <v>223</v>
      </c>
      <c r="Q78" t="s">
        <v>224</v>
      </c>
      <c r="R78">
        <v>17965</v>
      </c>
      <c r="S78" t="s">
        <v>224</v>
      </c>
      <c r="T78" t="s">
        <v>232</v>
      </c>
      <c r="U78">
        <v>2.62</v>
      </c>
      <c r="V78">
        <v>1.3</v>
      </c>
      <c r="W78">
        <v>956</v>
      </c>
      <c r="X78" s="26" t="b">
        <f t="shared" si="8"/>
        <v>0</v>
      </c>
      <c r="Y78" s="26" t="b">
        <f t="shared" si="9"/>
        <v>0</v>
      </c>
      <c r="Z78" s="26" t="b">
        <f t="shared" si="10"/>
        <v>0</v>
      </c>
      <c r="AA78" s="26" t="b">
        <f t="shared" si="11"/>
        <v>1</v>
      </c>
      <c r="AB78" s="26" t="b">
        <f t="shared" si="12"/>
        <v>0</v>
      </c>
      <c r="AC78" s="26" t="b">
        <f t="shared" si="13"/>
        <v>0</v>
      </c>
      <c r="AD78" s="26" t="b">
        <f t="shared" si="14"/>
        <v>0</v>
      </c>
      <c r="AE78" s="26" t="b">
        <f t="shared" ca="1" si="15"/>
        <v>1</v>
      </c>
    </row>
    <row r="79" spans="1:31" x14ac:dyDescent="0.3">
      <c r="A79" t="s">
        <v>100</v>
      </c>
      <c r="B79">
        <v>16</v>
      </c>
      <c r="C79">
        <v>9</v>
      </c>
      <c r="D79">
        <v>2.1</v>
      </c>
      <c r="E79">
        <v>9.1999999999999993</v>
      </c>
      <c r="F79">
        <v>84382</v>
      </c>
      <c r="G79" t="s">
        <v>223</v>
      </c>
      <c r="H79">
        <v>425</v>
      </c>
      <c r="I79" t="s">
        <v>225</v>
      </c>
      <c r="J79" s="2">
        <v>45836</v>
      </c>
      <c r="K79" t="s">
        <v>223</v>
      </c>
      <c r="L79" t="s">
        <v>224</v>
      </c>
      <c r="M79" t="s">
        <v>227</v>
      </c>
      <c r="N79" s="2">
        <v>45869</v>
      </c>
      <c r="O79" t="s">
        <v>229</v>
      </c>
      <c r="P79" t="s">
        <v>224</v>
      </c>
      <c r="Q79" t="s">
        <v>224</v>
      </c>
      <c r="R79">
        <v>3127</v>
      </c>
      <c r="S79" t="s">
        <v>224</v>
      </c>
      <c r="T79" t="s">
        <v>231</v>
      </c>
      <c r="U79">
        <v>8.51</v>
      </c>
      <c r="V79">
        <v>3.6</v>
      </c>
      <c r="W79">
        <v>1449</v>
      </c>
      <c r="X79" s="26" t="b">
        <f t="shared" si="8"/>
        <v>0</v>
      </c>
      <c r="Y79" s="26" t="b">
        <f t="shared" si="9"/>
        <v>0</v>
      </c>
      <c r="Z79" s="26" t="b">
        <f t="shared" si="10"/>
        <v>0</v>
      </c>
      <c r="AA79" s="26" t="b">
        <f t="shared" si="11"/>
        <v>1</v>
      </c>
      <c r="AB79" s="26" t="b">
        <f t="shared" si="12"/>
        <v>0</v>
      </c>
      <c r="AC79" s="26" t="b">
        <f t="shared" si="13"/>
        <v>0</v>
      </c>
      <c r="AD79" s="26" t="b">
        <f t="shared" si="14"/>
        <v>0</v>
      </c>
      <c r="AE79" s="26" t="b">
        <f t="shared" ca="1" si="15"/>
        <v>1</v>
      </c>
    </row>
    <row r="80" spans="1:31" x14ac:dyDescent="0.3">
      <c r="A80" t="s">
        <v>101</v>
      </c>
      <c r="B80">
        <v>30</v>
      </c>
      <c r="C80">
        <v>2</v>
      </c>
      <c r="D80">
        <v>4.2</v>
      </c>
      <c r="E80">
        <v>5.3</v>
      </c>
      <c r="F80">
        <v>35907</v>
      </c>
      <c r="G80" t="s">
        <v>223</v>
      </c>
      <c r="H80">
        <v>442</v>
      </c>
      <c r="I80" t="s">
        <v>225</v>
      </c>
      <c r="J80" s="2">
        <v>45840</v>
      </c>
      <c r="K80" t="s">
        <v>224</v>
      </c>
      <c r="L80" t="s">
        <v>223</v>
      </c>
      <c r="M80" t="s">
        <v>228</v>
      </c>
      <c r="N80" s="2">
        <v>45866</v>
      </c>
      <c r="O80" t="s">
        <v>230</v>
      </c>
      <c r="P80" t="s">
        <v>223</v>
      </c>
      <c r="Q80" t="s">
        <v>223</v>
      </c>
      <c r="R80">
        <v>3154</v>
      </c>
      <c r="S80" t="s">
        <v>224</v>
      </c>
      <c r="T80" t="s">
        <v>231</v>
      </c>
      <c r="U80">
        <v>10</v>
      </c>
      <c r="V80">
        <v>3.6</v>
      </c>
      <c r="W80">
        <v>1038</v>
      </c>
      <c r="X80" s="26" t="b">
        <f t="shared" si="8"/>
        <v>1</v>
      </c>
      <c r="Y80" s="26" t="b">
        <f t="shared" si="9"/>
        <v>1</v>
      </c>
      <c r="Z80" s="26" t="b">
        <f t="shared" si="10"/>
        <v>0</v>
      </c>
      <c r="AA80" s="26" t="b">
        <f t="shared" si="11"/>
        <v>0</v>
      </c>
      <c r="AB80" s="26" t="b">
        <f t="shared" si="12"/>
        <v>0</v>
      </c>
      <c r="AC80" s="26" t="b">
        <f t="shared" si="13"/>
        <v>0</v>
      </c>
      <c r="AD80" s="26" t="b">
        <f t="shared" si="14"/>
        <v>0</v>
      </c>
      <c r="AE80" s="26" t="b">
        <f t="shared" ca="1" si="15"/>
        <v>0</v>
      </c>
    </row>
    <row r="81" spans="1:31" x14ac:dyDescent="0.3">
      <c r="A81" t="s">
        <v>102</v>
      </c>
      <c r="B81">
        <v>23</v>
      </c>
      <c r="C81">
        <v>6</v>
      </c>
      <c r="D81">
        <v>4.3</v>
      </c>
      <c r="E81">
        <v>1.2</v>
      </c>
      <c r="F81">
        <v>61553</v>
      </c>
      <c r="G81" t="s">
        <v>223</v>
      </c>
      <c r="H81">
        <v>760</v>
      </c>
      <c r="I81" t="s">
        <v>226</v>
      </c>
      <c r="J81" s="2">
        <v>45847</v>
      </c>
      <c r="K81" t="s">
        <v>224</v>
      </c>
      <c r="L81" t="s">
        <v>223</v>
      </c>
      <c r="M81" t="s">
        <v>227</v>
      </c>
      <c r="N81" s="2">
        <v>45859</v>
      </c>
      <c r="O81" t="s">
        <v>230</v>
      </c>
      <c r="P81" t="s">
        <v>223</v>
      </c>
      <c r="Q81" t="s">
        <v>223</v>
      </c>
      <c r="R81">
        <v>17977</v>
      </c>
      <c r="S81" t="s">
        <v>223</v>
      </c>
      <c r="T81" t="s">
        <v>231</v>
      </c>
      <c r="U81">
        <v>1.65</v>
      </c>
      <c r="V81">
        <v>1.6</v>
      </c>
      <c r="W81">
        <v>1226</v>
      </c>
      <c r="X81" s="26" t="b">
        <f t="shared" si="8"/>
        <v>0</v>
      </c>
      <c r="Y81" s="26" t="b">
        <f t="shared" si="9"/>
        <v>0</v>
      </c>
      <c r="Z81" s="26" t="b">
        <f t="shared" si="10"/>
        <v>1</v>
      </c>
      <c r="AA81" s="26" t="b">
        <f t="shared" si="11"/>
        <v>0</v>
      </c>
      <c r="AB81" s="26" t="b">
        <f t="shared" si="12"/>
        <v>0</v>
      </c>
      <c r="AC81" s="26" t="b">
        <f t="shared" si="13"/>
        <v>0</v>
      </c>
      <c r="AD81" s="26" t="b">
        <f t="shared" si="14"/>
        <v>0</v>
      </c>
      <c r="AE81" s="26" t="b">
        <f t="shared" ca="1" si="15"/>
        <v>1</v>
      </c>
    </row>
    <row r="82" spans="1:31" x14ac:dyDescent="0.3">
      <c r="A82" t="s">
        <v>103</v>
      </c>
      <c r="B82">
        <v>17</v>
      </c>
      <c r="C82">
        <v>5</v>
      </c>
      <c r="D82">
        <v>4.8</v>
      </c>
      <c r="E82">
        <v>5.4</v>
      </c>
      <c r="F82">
        <v>57230</v>
      </c>
      <c r="G82" t="s">
        <v>223</v>
      </c>
      <c r="H82">
        <v>556</v>
      </c>
      <c r="I82" t="s">
        <v>225</v>
      </c>
      <c r="J82" s="2">
        <v>45850</v>
      </c>
      <c r="K82" t="s">
        <v>224</v>
      </c>
      <c r="L82" t="s">
        <v>223</v>
      </c>
      <c r="M82" t="s">
        <v>228</v>
      </c>
      <c r="N82" s="2">
        <v>45857</v>
      </c>
      <c r="O82" t="s">
        <v>229</v>
      </c>
      <c r="P82" t="s">
        <v>223</v>
      </c>
      <c r="Q82" t="s">
        <v>223</v>
      </c>
      <c r="R82">
        <v>12063</v>
      </c>
      <c r="S82" t="s">
        <v>223</v>
      </c>
      <c r="T82" t="s">
        <v>232</v>
      </c>
      <c r="U82">
        <v>0.81</v>
      </c>
      <c r="V82">
        <v>4.7</v>
      </c>
      <c r="W82">
        <v>1289</v>
      </c>
      <c r="X82" s="26" t="b">
        <f t="shared" si="8"/>
        <v>0</v>
      </c>
      <c r="Y82" s="26" t="b">
        <f t="shared" si="9"/>
        <v>1</v>
      </c>
      <c r="Z82" s="26" t="b">
        <f t="shared" si="10"/>
        <v>0</v>
      </c>
      <c r="AA82" s="26" t="b">
        <f t="shared" si="11"/>
        <v>0</v>
      </c>
      <c r="AB82" s="26" t="b">
        <f t="shared" si="12"/>
        <v>0</v>
      </c>
      <c r="AC82" s="26" t="b">
        <f t="shared" si="13"/>
        <v>0</v>
      </c>
      <c r="AD82" s="26" t="b">
        <f t="shared" si="14"/>
        <v>0</v>
      </c>
      <c r="AE82" s="26" t="b">
        <f t="shared" ca="1" si="15"/>
        <v>1</v>
      </c>
    </row>
    <row r="83" spans="1:31" x14ac:dyDescent="0.3">
      <c r="A83" t="s">
        <v>104</v>
      </c>
      <c r="B83">
        <v>28</v>
      </c>
      <c r="C83">
        <v>4</v>
      </c>
      <c r="D83">
        <v>3.6</v>
      </c>
      <c r="E83">
        <v>7.8</v>
      </c>
      <c r="F83">
        <v>74602</v>
      </c>
      <c r="G83" t="s">
        <v>223</v>
      </c>
      <c r="H83">
        <v>809</v>
      </c>
      <c r="I83" t="s">
        <v>226</v>
      </c>
      <c r="J83" s="2">
        <v>45849</v>
      </c>
      <c r="K83" t="s">
        <v>224</v>
      </c>
      <c r="L83" t="s">
        <v>224</v>
      </c>
      <c r="M83" t="s">
        <v>227</v>
      </c>
      <c r="N83" s="2">
        <v>45867</v>
      </c>
      <c r="O83" t="s">
        <v>230</v>
      </c>
      <c r="P83" t="s">
        <v>224</v>
      </c>
      <c r="Q83" t="s">
        <v>223</v>
      </c>
      <c r="R83">
        <v>2963</v>
      </c>
      <c r="S83" t="s">
        <v>223</v>
      </c>
      <c r="T83" t="s">
        <v>231</v>
      </c>
      <c r="U83">
        <v>4.16</v>
      </c>
      <c r="V83">
        <v>2.2999999999999998</v>
      </c>
      <c r="W83">
        <v>848</v>
      </c>
      <c r="X83" s="26" t="b">
        <f t="shared" si="8"/>
        <v>0</v>
      </c>
      <c r="Y83" s="26" t="b">
        <f t="shared" si="9"/>
        <v>0</v>
      </c>
      <c r="Z83" s="26" t="b">
        <f t="shared" si="10"/>
        <v>1</v>
      </c>
      <c r="AA83" s="26" t="b">
        <f t="shared" si="11"/>
        <v>0</v>
      </c>
      <c r="AB83" s="26" t="b">
        <f t="shared" si="12"/>
        <v>1</v>
      </c>
      <c r="AC83" s="26" t="b">
        <f t="shared" si="13"/>
        <v>1</v>
      </c>
      <c r="AD83" s="26" t="b">
        <f t="shared" si="14"/>
        <v>0</v>
      </c>
      <c r="AE83" s="26" t="b">
        <f t="shared" ca="1" si="15"/>
        <v>1</v>
      </c>
    </row>
    <row r="84" spans="1:31" x14ac:dyDescent="0.3">
      <c r="A84" t="s">
        <v>105</v>
      </c>
      <c r="B84">
        <v>29</v>
      </c>
      <c r="C84">
        <v>2</v>
      </c>
      <c r="D84">
        <v>2.2999999999999998</v>
      </c>
      <c r="E84">
        <v>7.3</v>
      </c>
      <c r="F84">
        <v>65268</v>
      </c>
      <c r="G84" t="s">
        <v>224</v>
      </c>
      <c r="H84">
        <v>433</v>
      </c>
      <c r="I84" t="s">
        <v>226</v>
      </c>
      <c r="J84" s="2">
        <v>45858</v>
      </c>
      <c r="K84" t="s">
        <v>223</v>
      </c>
      <c r="L84" t="s">
        <v>224</v>
      </c>
      <c r="M84" t="s">
        <v>227</v>
      </c>
      <c r="N84" s="2">
        <v>45869</v>
      </c>
      <c r="O84" t="s">
        <v>229</v>
      </c>
      <c r="P84" t="s">
        <v>224</v>
      </c>
      <c r="Q84" t="s">
        <v>224</v>
      </c>
      <c r="R84">
        <v>9123</v>
      </c>
      <c r="S84" t="s">
        <v>223</v>
      </c>
      <c r="T84" t="s">
        <v>232</v>
      </c>
      <c r="U84">
        <v>0.51</v>
      </c>
      <c r="V84">
        <v>4.7</v>
      </c>
      <c r="W84">
        <v>1384</v>
      </c>
      <c r="X84" s="26" t="b">
        <f t="shared" si="8"/>
        <v>1</v>
      </c>
      <c r="Y84" s="26" t="b">
        <f t="shared" si="9"/>
        <v>0</v>
      </c>
      <c r="Z84" s="26" t="b">
        <f t="shared" si="10"/>
        <v>1</v>
      </c>
      <c r="AA84" s="26" t="b">
        <f t="shared" si="11"/>
        <v>1</v>
      </c>
      <c r="AB84" s="26" t="b">
        <f t="shared" si="12"/>
        <v>1</v>
      </c>
      <c r="AC84" s="26" t="b">
        <f t="shared" si="13"/>
        <v>0</v>
      </c>
      <c r="AD84" s="26" t="b">
        <f t="shared" si="14"/>
        <v>0</v>
      </c>
      <c r="AE84" s="26" t="b">
        <f t="shared" ca="1" si="15"/>
        <v>1</v>
      </c>
    </row>
    <row r="85" spans="1:31" x14ac:dyDescent="0.3">
      <c r="A85" t="s">
        <v>106</v>
      </c>
      <c r="B85">
        <v>29</v>
      </c>
      <c r="C85">
        <v>6</v>
      </c>
      <c r="D85">
        <v>2</v>
      </c>
      <c r="E85">
        <v>8.6999999999999993</v>
      </c>
      <c r="F85">
        <v>40932</v>
      </c>
      <c r="G85" t="s">
        <v>224</v>
      </c>
      <c r="H85">
        <v>620</v>
      </c>
      <c r="I85" t="s">
        <v>225</v>
      </c>
      <c r="J85" s="2">
        <v>45842</v>
      </c>
      <c r="K85" t="s">
        <v>223</v>
      </c>
      <c r="L85" t="s">
        <v>224</v>
      </c>
      <c r="M85" t="s">
        <v>228</v>
      </c>
      <c r="N85" s="2">
        <v>45870</v>
      </c>
      <c r="O85" t="s">
        <v>230</v>
      </c>
      <c r="P85" t="s">
        <v>224</v>
      </c>
      <c r="Q85" t="s">
        <v>223</v>
      </c>
      <c r="R85">
        <v>3950</v>
      </c>
      <c r="S85" t="s">
        <v>224</v>
      </c>
      <c r="T85" t="s">
        <v>231</v>
      </c>
      <c r="U85">
        <v>9.67</v>
      </c>
      <c r="V85">
        <v>1.1000000000000001</v>
      </c>
      <c r="W85">
        <v>861</v>
      </c>
      <c r="X85" s="26" t="b">
        <f t="shared" si="8"/>
        <v>0</v>
      </c>
      <c r="Y85" s="26" t="b">
        <f t="shared" si="9"/>
        <v>0</v>
      </c>
      <c r="Z85" s="26" t="b">
        <f t="shared" si="10"/>
        <v>0</v>
      </c>
      <c r="AA85" s="26" t="b">
        <f t="shared" si="11"/>
        <v>0</v>
      </c>
      <c r="AB85" s="26" t="b">
        <f t="shared" si="12"/>
        <v>0</v>
      </c>
      <c r="AC85" s="26" t="b">
        <f t="shared" si="13"/>
        <v>1</v>
      </c>
      <c r="AD85" s="26" t="b">
        <f t="shared" si="14"/>
        <v>0</v>
      </c>
      <c r="AE85" s="26" t="b">
        <f t="shared" ca="1" si="15"/>
        <v>0</v>
      </c>
    </row>
    <row r="86" spans="1:31" x14ac:dyDescent="0.3">
      <c r="A86" t="s">
        <v>107</v>
      </c>
      <c r="B86">
        <v>11</v>
      </c>
      <c r="C86">
        <v>0</v>
      </c>
      <c r="D86">
        <v>2.1</v>
      </c>
      <c r="E86">
        <v>6.2</v>
      </c>
      <c r="F86">
        <v>81680</v>
      </c>
      <c r="G86" t="s">
        <v>224</v>
      </c>
      <c r="H86">
        <v>849</v>
      </c>
      <c r="I86" t="s">
        <v>225</v>
      </c>
      <c r="J86" s="2">
        <v>45836</v>
      </c>
      <c r="K86" t="s">
        <v>223</v>
      </c>
      <c r="L86" t="s">
        <v>224</v>
      </c>
      <c r="M86" t="s">
        <v>227</v>
      </c>
      <c r="N86" s="2">
        <v>45863</v>
      </c>
      <c r="O86" t="s">
        <v>230</v>
      </c>
      <c r="P86" t="s">
        <v>224</v>
      </c>
      <c r="Q86" t="s">
        <v>224</v>
      </c>
      <c r="R86">
        <v>2482</v>
      </c>
      <c r="S86" t="s">
        <v>224</v>
      </c>
      <c r="T86" t="s">
        <v>232</v>
      </c>
      <c r="U86">
        <v>5.7</v>
      </c>
      <c r="V86">
        <v>1</v>
      </c>
      <c r="W86">
        <v>1066</v>
      </c>
      <c r="X86" s="26" t="b">
        <f t="shared" si="8"/>
        <v>0</v>
      </c>
      <c r="Y86" s="26" t="b">
        <f t="shared" si="9"/>
        <v>0</v>
      </c>
      <c r="Z86" s="26" t="b">
        <f t="shared" si="10"/>
        <v>1</v>
      </c>
      <c r="AA86" s="26" t="b">
        <f t="shared" si="11"/>
        <v>0</v>
      </c>
      <c r="AB86" s="26" t="b">
        <f t="shared" si="12"/>
        <v>1</v>
      </c>
      <c r="AC86" s="26" t="b">
        <f t="shared" si="13"/>
        <v>0</v>
      </c>
      <c r="AD86" s="26" t="b">
        <f t="shared" si="14"/>
        <v>0</v>
      </c>
      <c r="AE86" s="26" t="b">
        <f t="shared" ca="1" si="15"/>
        <v>1</v>
      </c>
    </row>
    <row r="87" spans="1:31" x14ac:dyDescent="0.3">
      <c r="A87" t="s">
        <v>108</v>
      </c>
      <c r="B87">
        <v>19</v>
      </c>
      <c r="C87">
        <v>1</v>
      </c>
      <c r="D87">
        <v>2.5</v>
      </c>
      <c r="E87">
        <v>4.8</v>
      </c>
      <c r="F87">
        <v>92070</v>
      </c>
      <c r="G87" t="s">
        <v>224</v>
      </c>
      <c r="H87">
        <v>421</v>
      </c>
      <c r="I87" t="s">
        <v>225</v>
      </c>
      <c r="J87" s="2">
        <v>45884</v>
      </c>
      <c r="K87" t="s">
        <v>224</v>
      </c>
      <c r="L87" t="s">
        <v>224</v>
      </c>
      <c r="M87" t="s">
        <v>228</v>
      </c>
      <c r="N87" s="2">
        <v>45866</v>
      </c>
      <c r="O87" t="s">
        <v>229</v>
      </c>
      <c r="P87" t="s">
        <v>223</v>
      </c>
      <c r="Q87" t="s">
        <v>224</v>
      </c>
      <c r="R87">
        <v>17386</v>
      </c>
      <c r="S87" t="s">
        <v>223</v>
      </c>
      <c r="T87" t="s">
        <v>232</v>
      </c>
      <c r="U87">
        <v>0.39</v>
      </c>
      <c r="V87">
        <v>3.6</v>
      </c>
      <c r="W87">
        <v>1323</v>
      </c>
      <c r="X87" s="26" t="b">
        <f t="shared" si="8"/>
        <v>0</v>
      </c>
      <c r="Y87" s="26" t="b">
        <f t="shared" si="9"/>
        <v>0</v>
      </c>
      <c r="Z87" s="26" t="b">
        <f t="shared" si="10"/>
        <v>1</v>
      </c>
      <c r="AA87" s="26" t="b">
        <f t="shared" si="11"/>
        <v>1</v>
      </c>
      <c r="AB87" s="26" t="b">
        <f t="shared" si="12"/>
        <v>0</v>
      </c>
      <c r="AC87" s="26" t="b">
        <f t="shared" si="13"/>
        <v>0</v>
      </c>
      <c r="AD87" s="26" t="b">
        <f t="shared" si="14"/>
        <v>0</v>
      </c>
      <c r="AE87" s="26" t="b">
        <f t="shared" ca="1" si="15"/>
        <v>0</v>
      </c>
    </row>
    <row r="88" spans="1:31" x14ac:dyDescent="0.3">
      <c r="A88" t="s">
        <v>109</v>
      </c>
      <c r="B88">
        <v>25</v>
      </c>
      <c r="C88">
        <v>8</v>
      </c>
      <c r="D88">
        <v>2.8</v>
      </c>
      <c r="E88">
        <v>6.3</v>
      </c>
      <c r="F88">
        <v>87568</v>
      </c>
      <c r="G88" t="s">
        <v>223</v>
      </c>
      <c r="H88">
        <v>635</v>
      </c>
      <c r="I88" t="s">
        <v>226</v>
      </c>
      <c r="J88" s="2">
        <v>45880</v>
      </c>
      <c r="K88" t="s">
        <v>224</v>
      </c>
      <c r="L88" t="s">
        <v>224</v>
      </c>
      <c r="M88" t="s">
        <v>228</v>
      </c>
      <c r="N88" s="2">
        <v>45870</v>
      </c>
      <c r="O88" t="s">
        <v>230</v>
      </c>
      <c r="P88" t="s">
        <v>224</v>
      </c>
      <c r="Q88" t="s">
        <v>223</v>
      </c>
      <c r="R88">
        <v>13070</v>
      </c>
      <c r="S88" t="s">
        <v>224</v>
      </c>
      <c r="T88" t="s">
        <v>232</v>
      </c>
      <c r="U88">
        <v>9.8000000000000007</v>
      </c>
      <c r="V88">
        <v>2.9</v>
      </c>
      <c r="W88">
        <v>1315</v>
      </c>
      <c r="X88" s="26" t="b">
        <f t="shared" si="8"/>
        <v>0</v>
      </c>
      <c r="Y88" s="26" t="b">
        <f t="shared" si="9"/>
        <v>0</v>
      </c>
      <c r="Z88" s="26" t="b">
        <f t="shared" si="10"/>
        <v>0</v>
      </c>
      <c r="AA88" s="26" t="b">
        <f t="shared" si="11"/>
        <v>0</v>
      </c>
      <c r="AB88" s="26" t="b">
        <f t="shared" si="12"/>
        <v>0</v>
      </c>
      <c r="AC88" s="26" t="b">
        <f t="shared" si="13"/>
        <v>0</v>
      </c>
      <c r="AD88" s="26" t="b">
        <f t="shared" si="14"/>
        <v>0</v>
      </c>
      <c r="AE88" s="26" t="b">
        <f t="shared" ca="1" si="15"/>
        <v>0</v>
      </c>
    </row>
    <row r="89" spans="1:31" x14ac:dyDescent="0.3">
      <c r="A89" t="s">
        <v>110</v>
      </c>
      <c r="B89">
        <v>30</v>
      </c>
      <c r="C89">
        <v>0</v>
      </c>
      <c r="D89">
        <v>3.4</v>
      </c>
      <c r="E89">
        <v>3</v>
      </c>
      <c r="F89">
        <v>95821</v>
      </c>
      <c r="G89" t="s">
        <v>223</v>
      </c>
      <c r="H89">
        <v>352</v>
      </c>
      <c r="I89" t="s">
        <v>226</v>
      </c>
      <c r="J89" s="2">
        <v>45880</v>
      </c>
      <c r="K89" t="s">
        <v>224</v>
      </c>
      <c r="L89" t="s">
        <v>223</v>
      </c>
      <c r="M89" t="s">
        <v>227</v>
      </c>
      <c r="N89" s="2">
        <v>45856</v>
      </c>
      <c r="O89" t="s">
        <v>229</v>
      </c>
      <c r="P89" t="s">
        <v>223</v>
      </c>
      <c r="Q89" t="s">
        <v>223</v>
      </c>
      <c r="R89">
        <v>15451</v>
      </c>
      <c r="S89" t="s">
        <v>224</v>
      </c>
      <c r="T89" t="s">
        <v>231</v>
      </c>
      <c r="U89">
        <v>1.51</v>
      </c>
      <c r="V89">
        <v>3.5</v>
      </c>
      <c r="W89">
        <v>920</v>
      </c>
      <c r="X89" s="26" t="b">
        <f t="shared" si="8"/>
        <v>1</v>
      </c>
      <c r="Y89" s="26" t="b">
        <f t="shared" si="9"/>
        <v>0</v>
      </c>
      <c r="Z89" s="26" t="b">
        <f t="shared" si="10"/>
        <v>0</v>
      </c>
      <c r="AA89" s="26" t="b">
        <f t="shared" si="11"/>
        <v>0</v>
      </c>
      <c r="AB89" s="26" t="b">
        <f t="shared" si="12"/>
        <v>0</v>
      </c>
      <c r="AC89" s="26" t="b">
        <f t="shared" si="13"/>
        <v>1</v>
      </c>
      <c r="AD89" s="26" t="b">
        <f t="shared" si="14"/>
        <v>0</v>
      </c>
      <c r="AE89" s="26" t="b">
        <f t="shared" ca="1" si="15"/>
        <v>1</v>
      </c>
    </row>
    <row r="90" spans="1:31" x14ac:dyDescent="0.3">
      <c r="A90" t="s">
        <v>111</v>
      </c>
      <c r="B90">
        <v>26</v>
      </c>
      <c r="C90">
        <v>9</v>
      </c>
      <c r="D90">
        <v>4.7</v>
      </c>
      <c r="E90">
        <v>8.8000000000000007</v>
      </c>
      <c r="F90">
        <v>28163</v>
      </c>
      <c r="G90" t="s">
        <v>223</v>
      </c>
      <c r="H90">
        <v>831</v>
      </c>
      <c r="I90" t="s">
        <v>225</v>
      </c>
      <c r="J90" s="2">
        <v>45855</v>
      </c>
      <c r="K90" t="s">
        <v>224</v>
      </c>
      <c r="L90" t="s">
        <v>224</v>
      </c>
      <c r="M90" t="s">
        <v>228</v>
      </c>
      <c r="N90" s="2">
        <v>45865</v>
      </c>
      <c r="O90" t="s">
        <v>229</v>
      </c>
      <c r="P90" t="s">
        <v>224</v>
      </c>
      <c r="Q90" t="s">
        <v>224</v>
      </c>
      <c r="R90">
        <v>18900</v>
      </c>
      <c r="S90" t="s">
        <v>224</v>
      </c>
      <c r="T90" t="s">
        <v>231</v>
      </c>
      <c r="U90">
        <v>6.1</v>
      </c>
      <c r="V90">
        <v>1</v>
      </c>
      <c r="W90">
        <v>752</v>
      </c>
      <c r="X90" s="26" t="b">
        <f t="shared" si="8"/>
        <v>0</v>
      </c>
      <c r="Y90" s="26" t="b">
        <f t="shared" si="9"/>
        <v>1</v>
      </c>
      <c r="Z90" s="26" t="b">
        <f t="shared" si="10"/>
        <v>0</v>
      </c>
      <c r="AA90" s="26" t="b">
        <f t="shared" si="11"/>
        <v>1</v>
      </c>
      <c r="AB90" s="26" t="b">
        <f t="shared" si="12"/>
        <v>0</v>
      </c>
      <c r="AC90" s="26" t="b">
        <f t="shared" si="13"/>
        <v>1</v>
      </c>
      <c r="AD90" s="26" t="b">
        <f t="shared" si="14"/>
        <v>0</v>
      </c>
      <c r="AE90" s="26" t="b">
        <f t="shared" ca="1" si="15"/>
        <v>0</v>
      </c>
    </row>
    <row r="91" spans="1:31" x14ac:dyDescent="0.3">
      <c r="A91" t="s">
        <v>112</v>
      </c>
      <c r="B91">
        <v>18</v>
      </c>
      <c r="C91">
        <v>8</v>
      </c>
      <c r="D91">
        <v>2.2000000000000002</v>
      </c>
      <c r="E91">
        <v>9.4</v>
      </c>
      <c r="F91">
        <v>59008</v>
      </c>
      <c r="G91" t="s">
        <v>224</v>
      </c>
      <c r="H91">
        <v>512</v>
      </c>
      <c r="I91" t="s">
        <v>226</v>
      </c>
      <c r="J91" s="2">
        <v>45870</v>
      </c>
      <c r="K91" t="s">
        <v>224</v>
      </c>
      <c r="L91" t="s">
        <v>224</v>
      </c>
      <c r="M91" t="s">
        <v>228</v>
      </c>
      <c r="N91" s="2">
        <v>45864</v>
      </c>
      <c r="O91" t="s">
        <v>229</v>
      </c>
      <c r="P91" t="s">
        <v>224</v>
      </c>
      <c r="Q91" t="s">
        <v>224</v>
      </c>
      <c r="R91">
        <v>12309</v>
      </c>
      <c r="S91" t="s">
        <v>223</v>
      </c>
      <c r="T91" t="s">
        <v>231</v>
      </c>
      <c r="U91">
        <v>0.42</v>
      </c>
      <c r="V91">
        <v>4.8</v>
      </c>
      <c r="W91">
        <v>580</v>
      </c>
      <c r="X91" s="26" t="b">
        <f t="shared" si="8"/>
        <v>0</v>
      </c>
      <c r="Y91" s="26" t="b">
        <f t="shared" si="9"/>
        <v>0</v>
      </c>
      <c r="Z91" s="26" t="b">
        <f t="shared" si="10"/>
        <v>1</v>
      </c>
      <c r="AA91" s="26" t="b">
        <f t="shared" si="11"/>
        <v>1</v>
      </c>
      <c r="AB91" s="26" t="b">
        <f t="shared" si="12"/>
        <v>0</v>
      </c>
      <c r="AC91" s="26" t="b">
        <f t="shared" si="13"/>
        <v>1</v>
      </c>
      <c r="AD91" s="26" t="b">
        <f t="shared" si="14"/>
        <v>0</v>
      </c>
      <c r="AE91" s="26" t="b">
        <f t="shared" ca="1" si="15"/>
        <v>0</v>
      </c>
    </row>
    <row r="92" spans="1:31" x14ac:dyDescent="0.3">
      <c r="A92" t="s">
        <v>113</v>
      </c>
      <c r="B92">
        <v>21</v>
      </c>
      <c r="C92">
        <v>7</v>
      </c>
      <c r="D92">
        <v>3.6</v>
      </c>
      <c r="E92">
        <v>7.6</v>
      </c>
      <c r="F92">
        <v>48047</v>
      </c>
      <c r="G92" t="s">
        <v>223</v>
      </c>
      <c r="H92">
        <v>577</v>
      </c>
      <c r="I92" t="s">
        <v>226</v>
      </c>
      <c r="J92" s="2">
        <v>45882</v>
      </c>
      <c r="K92" t="s">
        <v>223</v>
      </c>
      <c r="L92" t="s">
        <v>223</v>
      </c>
      <c r="M92" t="s">
        <v>227</v>
      </c>
      <c r="N92" s="2">
        <v>45856</v>
      </c>
      <c r="O92" t="s">
        <v>229</v>
      </c>
      <c r="P92" t="s">
        <v>223</v>
      </c>
      <c r="Q92" t="s">
        <v>223</v>
      </c>
      <c r="R92">
        <v>4283</v>
      </c>
      <c r="S92" t="s">
        <v>224</v>
      </c>
      <c r="T92" t="s">
        <v>231</v>
      </c>
      <c r="U92">
        <v>7.17</v>
      </c>
      <c r="V92">
        <v>0.5</v>
      </c>
      <c r="W92">
        <v>1289</v>
      </c>
      <c r="X92" s="26" t="b">
        <f t="shared" si="8"/>
        <v>0</v>
      </c>
      <c r="Y92" s="26" t="b">
        <f t="shared" si="9"/>
        <v>0</v>
      </c>
      <c r="Z92" s="26" t="b">
        <f t="shared" si="10"/>
        <v>0</v>
      </c>
      <c r="AA92" s="26" t="b">
        <f t="shared" si="11"/>
        <v>0</v>
      </c>
      <c r="AB92" s="26" t="b">
        <f t="shared" si="12"/>
        <v>0</v>
      </c>
      <c r="AC92" s="26" t="b">
        <f t="shared" si="13"/>
        <v>0</v>
      </c>
      <c r="AD92" s="26" t="b">
        <f t="shared" si="14"/>
        <v>0</v>
      </c>
      <c r="AE92" s="26" t="b">
        <f t="shared" ca="1" si="15"/>
        <v>1</v>
      </c>
    </row>
    <row r="93" spans="1:31" x14ac:dyDescent="0.3">
      <c r="A93" t="s">
        <v>114</v>
      </c>
      <c r="B93">
        <v>14</v>
      </c>
      <c r="C93">
        <v>0</v>
      </c>
      <c r="D93">
        <v>4.9000000000000004</v>
      </c>
      <c r="E93">
        <v>9.8000000000000007</v>
      </c>
      <c r="F93">
        <v>40701</v>
      </c>
      <c r="G93" t="s">
        <v>224</v>
      </c>
      <c r="H93">
        <v>787</v>
      </c>
      <c r="I93" t="s">
        <v>226</v>
      </c>
      <c r="J93" s="2">
        <v>45849</v>
      </c>
      <c r="K93" t="s">
        <v>223</v>
      </c>
      <c r="L93" t="s">
        <v>224</v>
      </c>
      <c r="M93" t="s">
        <v>228</v>
      </c>
      <c r="N93" s="2">
        <v>45864</v>
      </c>
      <c r="O93" t="s">
        <v>229</v>
      </c>
      <c r="P93" t="s">
        <v>223</v>
      </c>
      <c r="Q93" t="s">
        <v>223</v>
      </c>
      <c r="R93">
        <v>18535</v>
      </c>
      <c r="S93" t="s">
        <v>223</v>
      </c>
      <c r="T93" t="s">
        <v>232</v>
      </c>
      <c r="U93">
        <v>4.18</v>
      </c>
      <c r="V93">
        <v>4.2</v>
      </c>
      <c r="W93">
        <v>1456</v>
      </c>
      <c r="X93" s="26" t="b">
        <f t="shared" si="8"/>
        <v>0</v>
      </c>
      <c r="Y93" s="26" t="b">
        <f t="shared" si="9"/>
        <v>1</v>
      </c>
      <c r="Z93" s="26" t="b">
        <f t="shared" si="10"/>
        <v>0</v>
      </c>
      <c r="AA93" s="26" t="b">
        <f t="shared" si="11"/>
        <v>0</v>
      </c>
      <c r="AB93" s="26" t="b">
        <f t="shared" si="12"/>
        <v>0</v>
      </c>
      <c r="AC93" s="26" t="b">
        <f t="shared" si="13"/>
        <v>0</v>
      </c>
      <c r="AD93" s="26" t="b">
        <f t="shared" si="14"/>
        <v>0</v>
      </c>
      <c r="AE93" s="26" t="b">
        <f t="shared" ca="1" si="15"/>
        <v>0</v>
      </c>
    </row>
    <row r="94" spans="1:31" x14ac:dyDescent="0.3">
      <c r="A94" t="s">
        <v>115</v>
      </c>
      <c r="B94">
        <v>11</v>
      </c>
      <c r="C94">
        <v>6</v>
      </c>
      <c r="D94">
        <v>4.2</v>
      </c>
      <c r="E94">
        <v>2.2999999999999998</v>
      </c>
      <c r="F94">
        <v>57941</v>
      </c>
      <c r="G94" t="s">
        <v>223</v>
      </c>
      <c r="H94">
        <v>309</v>
      </c>
      <c r="I94" t="s">
        <v>226</v>
      </c>
      <c r="J94" s="2">
        <v>45854</v>
      </c>
      <c r="K94" t="s">
        <v>223</v>
      </c>
      <c r="L94" t="s">
        <v>224</v>
      </c>
      <c r="M94" t="s">
        <v>228</v>
      </c>
      <c r="N94" s="2">
        <v>45869</v>
      </c>
      <c r="O94" t="s">
        <v>230</v>
      </c>
      <c r="P94" t="s">
        <v>223</v>
      </c>
      <c r="Q94" t="s">
        <v>224</v>
      </c>
      <c r="R94">
        <v>9940</v>
      </c>
      <c r="S94" t="s">
        <v>223</v>
      </c>
      <c r="T94" t="s">
        <v>232</v>
      </c>
      <c r="U94">
        <v>3.31</v>
      </c>
      <c r="V94">
        <v>3.7</v>
      </c>
      <c r="W94">
        <v>1163</v>
      </c>
      <c r="X94" s="26" t="b">
        <f t="shared" si="8"/>
        <v>0</v>
      </c>
      <c r="Y94" s="26" t="b">
        <f t="shared" si="9"/>
        <v>1</v>
      </c>
      <c r="Z94" s="26" t="b">
        <f t="shared" si="10"/>
        <v>0</v>
      </c>
      <c r="AA94" s="26" t="b">
        <f t="shared" si="11"/>
        <v>1</v>
      </c>
      <c r="AB94" s="26" t="b">
        <f t="shared" si="12"/>
        <v>1</v>
      </c>
      <c r="AC94" s="26" t="b">
        <f t="shared" si="13"/>
        <v>0</v>
      </c>
      <c r="AD94" s="26" t="b">
        <f t="shared" si="14"/>
        <v>0</v>
      </c>
      <c r="AE94" s="26" t="b">
        <f t="shared" ca="1" si="15"/>
        <v>0</v>
      </c>
    </row>
    <row r="95" spans="1:31" x14ac:dyDescent="0.3">
      <c r="A95" t="s">
        <v>116</v>
      </c>
      <c r="B95">
        <v>18</v>
      </c>
      <c r="C95">
        <v>2</v>
      </c>
      <c r="D95">
        <v>1.1000000000000001</v>
      </c>
      <c r="E95">
        <v>3.7</v>
      </c>
      <c r="F95">
        <v>58669</v>
      </c>
      <c r="G95" t="s">
        <v>223</v>
      </c>
      <c r="H95">
        <v>479</v>
      </c>
      <c r="I95" t="s">
        <v>226</v>
      </c>
      <c r="J95" s="2">
        <v>45838</v>
      </c>
      <c r="K95" t="s">
        <v>224</v>
      </c>
      <c r="L95" t="s">
        <v>224</v>
      </c>
      <c r="M95" t="s">
        <v>227</v>
      </c>
      <c r="N95" s="2">
        <v>45867</v>
      </c>
      <c r="O95" t="s">
        <v>229</v>
      </c>
      <c r="P95" t="s">
        <v>223</v>
      </c>
      <c r="Q95" t="s">
        <v>223</v>
      </c>
      <c r="R95">
        <v>16645</v>
      </c>
      <c r="S95" t="s">
        <v>224</v>
      </c>
      <c r="T95" t="s">
        <v>232</v>
      </c>
      <c r="U95">
        <v>7.0000000000000007E-2</v>
      </c>
      <c r="V95">
        <v>1.9</v>
      </c>
      <c r="W95">
        <v>957</v>
      </c>
      <c r="X95" s="26" t="b">
        <f t="shared" si="8"/>
        <v>0</v>
      </c>
      <c r="Y95" s="26" t="b">
        <f t="shared" si="9"/>
        <v>0</v>
      </c>
      <c r="Z95" s="26" t="b">
        <f t="shared" si="10"/>
        <v>0</v>
      </c>
      <c r="AA95" s="26" t="b">
        <f t="shared" si="11"/>
        <v>0</v>
      </c>
      <c r="AB95" s="26" t="b">
        <f t="shared" si="12"/>
        <v>0</v>
      </c>
      <c r="AC95" s="26" t="b">
        <f t="shared" si="13"/>
        <v>0</v>
      </c>
      <c r="AD95" s="26" t="b">
        <f t="shared" si="14"/>
        <v>1</v>
      </c>
      <c r="AE95" s="26" t="b">
        <f t="shared" ca="1" si="15"/>
        <v>1</v>
      </c>
    </row>
    <row r="96" spans="1:31" x14ac:dyDescent="0.3">
      <c r="A96" t="s">
        <v>117</v>
      </c>
      <c r="B96">
        <v>18</v>
      </c>
      <c r="C96">
        <v>5</v>
      </c>
      <c r="D96">
        <v>2.2000000000000002</v>
      </c>
      <c r="E96">
        <v>7.4</v>
      </c>
      <c r="F96">
        <v>21498</v>
      </c>
      <c r="G96" t="s">
        <v>224</v>
      </c>
      <c r="H96">
        <v>668</v>
      </c>
      <c r="I96" t="s">
        <v>225</v>
      </c>
      <c r="J96" s="2">
        <v>45887</v>
      </c>
      <c r="K96" t="s">
        <v>223</v>
      </c>
      <c r="L96" t="s">
        <v>224</v>
      </c>
      <c r="M96" t="s">
        <v>228</v>
      </c>
      <c r="N96" s="2">
        <v>45860</v>
      </c>
      <c r="O96" t="s">
        <v>230</v>
      </c>
      <c r="P96" t="s">
        <v>224</v>
      </c>
      <c r="Q96" t="s">
        <v>223</v>
      </c>
      <c r="R96">
        <v>10667</v>
      </c>
      <c r="S96" t="s">
        <v>224</v>
      </c>
      <c r="T96" t="s">
        <v>232</v>
      </c>
      <c r="U96">
        <v>2.19</v>
      </c>
      <c r="V96">
        <v>0.7</v>
      </c>
      <c r="W96">
        <v>656</v>
      </c>
      <c r="X96" s="26" t="b">
        <f t="shared" si="8"/>
        <v>0</v>
      </c>
      <c r="Y96" s="26" t="b">
        <f t="shared" si="9"/>
        <v>0</v>
      </c>
      <c r="Z96" s="26" t="b">
        <f t="shared" si="10"/>
        <v>0</v>
      </c>
      <c r="AA96" s="26" t="b">
        <f t="shared" si="11"/>
        <v>0</v>
      </c>
      <c r="AB96" s="26" t="b">
        <f t="shared" si="12"/>
        <v>0</v>
      </c>
      <c r="AC96" s="26" t="b">
        <f t="shared" si="13"/>
        <v>0</v>
      </c>
      <c r="AD96" s="26" t="b">
        <f t="shared" si="14"/>
        <v>0</v>
      </c>
      <c r="AE96" s="26" t="b">
        <f t="shared" ca="1" si="15"/>
        <v>1</v>
      </c>
    </row>
    <row r="97" spans="1:31" x14ac:dyDescent="0.3">
      <c r="A97" t="s">
        <v>118</v>
      </c>
      <c r="B97">
        <v>24</v>
      </c>
      <c r="C97">
        <v>9</v>
      </c>
      <c r="D97">
        <v>2.5</v>
      </c>
      <c r="E97">
        <v>7.2</v>
      </c>
      <c r="F97">
        <v>81712</v>
      </c>
      <c r="G97" t="s">
        <v>223</v>
      </c>
      <c r="H97">
        <v>553</v>
      </c>
      <c r="I97" t="s">
        <v>225</v>
      </c>
      <c r="J97" s="2">
        <v>45857</v>
      </c>
      <c r="K97" t="s">
        <v>224</v>
      </c>
      <c r="L97" t="s">
        <v>224</v>
      </c>
      <c r="M97" t="s">
        <v>227</v>
      </c>
      <c r="N97" s="2">
        <v>45858</v>
      </c>
      <c r="O97" t="s">
        <v>229</v>
      </c>
      <c r="P97" t="s">
        <v>223</v>
      </c>
      <c r="Q97" t="s">
        <v>223</v>
      </c>
      <c r="R97">
        <v>6391</v>
      </c>
      <c r="S97" t="s">
        <v>224</v>
      </c>
      <c r="T97" t="s">
        <v>231</v>
      </c>
      <c r="U97">
        <v>1.1599999999999999</v>
      </c>
      <c r="V97">
        <v>1</v>
      </c>
      <c r="W97">
        <v>1097</v>
      </c>
      <c r="X97" s="26" t="b">
        <f t="shared" si="8"/>
        <v>0</v>
      </c>
      <c r="Y97" s="26" t="b">
        <f t="shared" si="9"/>
        <v>0</v>
      </c>
      <c r="Z97" s="26" t="b">
        <f t="shared" si="10"/>
        <v>0</v>
      </c>
      <c r="AA97" s="26" t="b">
        <f t="shared" si="11"/>
        <v>0</v>
      </c>
      <c r="AB97" s="26" t="b">
        <f t="shared" si="12"/>
        <v>0</v>
      </c>
      <c r="AC97" s="26" t="b">
        <f t="shared" si="13"/>
        <v>0</v>
      </c>
      <c r="AD97" s="26" t="b">
        <f t="shared" si="14"/>
        <v>0</v>
      </c>
      <c r="AE97" s="26" t="b">
        <f t="shared" ca="1" si="15"/>
        <v>1</v>
      </c>
    </row>
    <row r="98" spans="1:31" x14ac:dyDescent="0.3">
      <c r="A98" t="s">
        <v>119</v>
      </c>
      <c r="B98">
        <v>25</v>
      </c>
      <c r="C98">
        <v>1</v>
      </c>
      <c r="D98">
        <v>4.5999999999999996</v>
      </c>
      <c r="E98">
        <v>4.7</v>
      </c>
      <c r="F98">
        <v>27292</v>
      </c>
      <c r="G98" t="s">
        <v>224</v>
      </c>
      <c r="H98">
        <v>435</v>
      </c>
      <c r="I98" t="s">
        <v>226</v>
      </c>
      <c r="J98" s="2">
        <v>45861</v>
      </c>
      <c r="K98" t="s">
        <v>223</v>
      </c>
      <c r="L98" t="s">
        <v>224</v>
      </c>
      <c r="M98" t="s">
        <v>228</v>
      </c>
      <c r="N98" s="2">
        <v>45855</v>
      </c>
      <c r="O98" t="s">
        <v>230</v>
      </c>
      <c r="P98" t="s">
        <v>224</v>
      </c>
      <c r="Q98" t="s">
        <v>223</v>
      </c>
      <c r="R98">
        <v>8140</v>
      </c>
      <c r="S98" t="s">
        <v>223</v>
      </c>
      <c r="T98" t="s">
        <v>232</v>
      </c>
      <c r="U98">
        <v>4.24</v>
      </c>
      <c r="V98">
        <v>3.5</v>
      </c>
      <c r="W98">
        <v>1054</v>
      </c>
      <c r="X98" s="26" t="b">
        <f t="shared" si="8"/>
        <v>1</v>
      </c>
      <c r="Y98" s="26" t="b">
        <f t="shared" si="9"/>
        <v>1</v>
      </c>
      <c r="Z98" s="26" t="b">
        <f t="shared" si="10"/>
        <v>0</v>
      </c>
      <c r="AA98" s="26" t="b">
        <f t="shared" si="11"/>
        <v>0</v>
      </c>
      <c r="AB98" s="26" t="b">
        <f t="shared" si="12"/>
        <v>1</v>
      </c>
      <c r="AC98" s="26" t="b">
        <f t="shared" si="13"/>
        <v>0</v>
      </c>
      <c r="AD98" s="26" t="b">
        <f t="shared" si="14"/>
        <v>0</v>
      </c>
      <c r="AE98" s="26" t="b">
        <f t="shared" ca="1" si="15"/>
        <v>1</v>
      </c>
    </row>
    <row r="99" spans="1:31" x14ac:dyDescent="0.3">
      <c r="A99" t="s">
        <v>120</v>
      </c>
      <c r="B99">
        <v>11</v>
      </c>
      <c r="C99">
        <v>1</v>
      </c>
      <c r="D99">
        <v>4.9000000000000004</v>
      </c>
      <c r="E99">
        <v>5</v>
      </c>
      <c r="F99">
        <v>57629</v>
      </c>
      <c r="G99" t="s">
        <v>224</v>
      </c>
      <c r="H99">
        <v>484</v>
      </c>
      <c r="I99" t="s">
        <v>225</v>
      </c>
      <c r="J99" s="2">
        <v>45841</v>
      </c>
      <c r="K99" t="s">
        <v>224</v>
      </c>
      <c r="L99" t="s">
        <v>224</v>
      </c>
      <c r="M99" t="s">
        <v>228</v>
      </c>
      <c r="N99" s="2">
        <v>45869</v>
      </c>
      <c r="O99" t="s">
        <v>230</v>
      </c>
      <c r="P99" t="s">
        <v>224</v>
      </c>
      <c r="Q99" t="s">
        <v>223</v>
      </c>
      <c r="R99">
        <v>18671</v>
      </c>
      <c r="S99" t="s">
        <v>223</v>
      </c>
      <c r="T99" t="s">
        <v>231</v>
      </c>
      <c r="U99">
        <v>1.19</v>
      </c>
      <c r="V99">
        <v>5</v>
      </c>
      <c r="W99">
        <v>902</v>
      </c>
      <c r="X99" s="26" t="b">
        <f t="shared" si="8"/>
        <v>0</v>
      </c>
      <c r="Y99" s="26" t="b">
        <f t="shared" si="9"/>
        <v>1</v>
      </c>
      <c r="Z99" s="26" t="b">
        <f t="shared" si="10"/>
        <v>1</v>
      </c>
      <c r="AA99" s="26" t="b">
        <f t="shared" si="11"/>
        <v>0</v>
      </c>
      <c r="AB99" s="26" t="b">
        <f t="shared" si="12"/>
        <v>0</v>
      </c>
      <c r="AC99" s="26" t="b">
        <f t="shared" si="13"/>
        <v>1</v>
      </c>
      <c r="AD99" s="26" t="b">
        <f t="shared" si="14"/>
        <v>0</v>
      </c>
      <c r="AE99" s="26" t="b">
        <f t="shared" ca="1" si="15"/>
        <v>0</v>
      </c>
    </row>
    <row r="100" spans="1:31" x14ac:dyDescent="0.3">
      <c r="A100" t="s">
        <v>121</v>
      </c>
      <c r="B100">
        <v>26</v>
      </c>
      <c r="C100">
        <v>2</v>
      </c>
      <c r="D100">
        <v>3.9</v>
      </c>
      <c r="E100">
        <v>2.6</v>
      </c>
      <c r="F100">
        <v>20455</v>
      </c>
      <c r="G100" t="s">
        <v>223</v>
      </c>
      <c r="H100">
        <v>605</v>
      </c>
      <c r="I100" t="s">
        <v>226</v>
      </c>
      <c r="J100" s="2">
        <v>45847</v>
      </c>
      <c r="K100" t="s">
        <v>224</v>
      </c>
      <c r="L100" t="s">
        <v>224</v>
      </c>
      <c r="M100" t="s">
        <v>227</v>
      </c>
      <c r="N100" s="2">
        <v>45862</v>
      </c>
      <c r="O100" t="s">
        <v>230</v>
      </c>
      <c r="P100" t="s">
        <v>224</v>
      </c>
      <c r="Q100" t="s">
        <v>223</v>
      </c>
      <c r="R100">
        <v>10032</v>
      </c>
      <c r="S100" t="s">
        <v>223</v>
      </c>
      <c r="T100" t="s">
        <v>232</v>
      </c>
      <c r="U100">
        <v>0.32</v>
      </c>
      <c r="V100">
        <v>3.3</v>
      </c>
      <c r="W100">
        <v>1129</v>
      </c>
      <c r="X100" s="26" t="b">
        <f t="shared" si="8"/>
        <v>1</v>
      </c>
      <c r="Y100" s="26" t="b">
        <f t="shared" si="9"/>
        <v>0</v>
      </c>
      <c r="Z100" s="26" t="b">
        <f t="shared" si="10"/>
        <v>0</v>
      </c>
      <c r="AA100" s="26" t="b">
        <f t="shared" si="11"/>
        <v>0</v>
      </c>
      <c r="AB100" s="26" t="b">
        <f t="shared" si="12"/>
        <v>0</v>
      </c>
      <c r="AC100" s="26" t="b">
        <f t="shared" si="13"/>
        <v>0</v>
      </c>
      <c r="AD100" s="26" t="b">
        <f t="shared" si="14"/>
        <v>0</v>
      </c>
      <c r="AE100" s="26" t="b">
        <f t="shared" ca="1" si="15"/>
        <v>1</v>
      </c>
    </row>
    <row r="101" spans="1:31" x14ac:dyDescent="0.3">
      <c r="A101" t="s">
        <v>122</v>
      </c>
      <c r="B101">
        <v>10</v>
      </c>
      <c r="C101">
        <v>3</v>
      </c>
      <c r="D101">
        <v>1.8</v>
      </c>
      <c r="E101">
        <v>1.5</v>
      </c>
      <c r="F101">
        <v>24400</v>
      </c>
      <c r="G101" t="s">
        <v>224</v>
      </c>
      <c r="H101">
        <v>349</v>
      </c>
      <c r="I101" t="s">
        <v>225</v>
      </c>
      <c r="J101" s="2">
        <v>45843</v>
      </c>
      <c r="K101" t="s">
        <v>223</v>
      </c>
      <c r="L101" t="s">
        <v>224</v>
      </c>
      <c r="M101" t="s">
        <v>228</v>
      </c>
      <c r="N101" s="2">
        <v>45862</v>
      </c>
      <c r="O101" t="s">
        <v>229</v>
      </c>
      <c r="P101" t="s">
        <v>223</v>
      </c>
      <c r="Q101" t="s">
        <v>223</v>
      </c>
      <c r="R101">
        <v>17511</v>
      </c>
      <c r="S101" t="s">
        <v>224</v>
      </c>
      <c r="T101" t="s">
        <v>232</v>
      </c>
      <c r="U101">
        <v>8.16</v>
      </c>
      <c r="V101">
        <v>3.7</v>
      </c>
      <c r="W101">
        <v>826</v>
      </c>
      <c r="X101" s="26" t="b">
        <f t="shared" si="8"/>
        <v>0</v>
      </c>
      <c r="Y101" s="26" t="b">
        <f t="shared" si="9"/>
        <v>0</v>
      </c>
      <c r="Z101" s="26" t="b">
        <f t="shared" si="10"/>
        <v>0</v>
      </c>
      <c r="AA101" s="26" t="b">
        <f t="shared" si="11"/>
        <v>0</v>
      </c>
      <c r="AB101" s="26" t="b">
        <f t="shared" si="12"/>
        <v>0</v>
      </c>
      <c r="AC101" s="26" t="b">
        <f t="shared" si="13"/>
        <v>1</v>
      </c>
      <c r="AD101" s="26" t="b">
        <f t="shared" si="14"/>
        <v>1</v>
      </c>
      <c r="AE101" s="26" t="b">
        <f t="shared" ca="1" si="15"/>
        <v>1</v>
      </c>
    </row>
    <row r="102" spans="1:31" x14ac:dyDescent="0.3">
      <c r="A102" t="s">
        <v>123</v>
      </c>
      <c r="B102">
        <v>28</v>
      </c>
      <c r="C102">
        <v>9</v>
      </c>
      <c r="D102">
        <v>4.0999999999999996</v>
      </c>
      <c r="E102">
        <v>8.3000000000000007</v>
      </c>
      <c r="F102">
        <v>51051</v>
      </c>
      <c r="G102" t="s">
        <v>224</v>
      </c>
      <c r="H102">
        <v>446</v>
      </c>
      <c r="I102" t="s">
        <v>225</v>
      </c>
      <c r="J102" s="2">
        <v>45864</v>
      </c>
      <c r="K102" t="s">
        <v>224</v>
      </c>
      <c r="L102" t="s">
        <v>224</v>
      </c>
      <c r="M102" t="s">
        <v>227</v>
      </c>
      <c r="N102" s="2">
        <v>45860</v>
      </c>
      <c r="O102" t="s">
        <v>230</v>
      </c>
      <c r="P102" t="s">
        <v>224</v>
      </c>
      <c r="Q102" t="s">
        <v>223</v>
      </c>
      <c r="R102">
        <v>12285</v>
      </c>
      <c r="S102" t="s">
        <v>224</v>
      </c>
      <c r="T102" t="s">
        <v>231</v>
      </c>
      <c r="U102">
        <v>6.96</v>
      </c>
      <c r="V102">
        <v>2</v>
      </c>
      <c r="W102">
        <v>807</v>
      </c>
      <c r="X102" s="26" t="b">
        <f t="shared" si="8"/>
        <v>0</v>
      </c>
      <c r="Y102" s="26" t="b">
        <f t="shared" si="9"/>
        <v>1</v>
      </c>
      <c r="Z102" s="26" t="b">
        <f t="shared" si="10"/>
        <v>1</v>
      </c>
      <c r="AA102" s="26" t="b">
        <f t="shared" si="11"/>
        <v>0</v>
      </c>
      <c r="AB102" s="26" t="b">
        <f t="shared" si="12"/>
        <v>0</v>
      </c>
      <c r="AC102" s="26" t="b">
        <f t="shared" si="13"/>
        <v>1</v>
      </c>
      <c r="AD102" s="26" t="b">
        <f t="shared" si="14"/>
        <v>0</v>
      </c>
      <c r="AE102" s="26" t="b">
        <f t="shared" ca="1" si="15"/>
        <v>1</v>
      </c>
    </row>
    <row r="103" spans="1:31" x14ac:dyDescent="0.3">
      <c r="A103" t="s">
        <v>124</v>
      </c>
      <c r="B103">
        <v>22</v>
      </c>
      <c r="C103">
        <v>2</v>
      </c>
      <c r="D103">
        <v>4</v>
      </c>
      <c r="E103">
        <v>5</v>
      </c>
      <c r="F103">
        <v>49536</v>
      </c>
      <c r="G103" t="s">
        <v>224</v>
      </c>
      <c r="H103">
        <v>447</v>
      </c>
      <c r="I103" t="s">
        <v>226</v>
      </c>
      <c r="J103" s="2">
        <v>45832</v>
      </c>
      <c r="K103" t="s">
        <v>223</v>
      </c>
      <c r="L103" t="s">
        <v>224</v>
      </c>
      <c r="M103" t="s">
        <v>228</v>
      </c>
      <c r="N103" s="2">
        <v>45859</v>
      </c>
      <c r="O103" t="s">
        <v>230</v>
      </c>
      <c r="P103" t="s">
        <v>223</v>
      </c>
      <c r="Q103" t="s">
        <v>224</v>
      </c>
      <c r="R103">
        <v>7662</v>
      </c>
      <c r="S103" t="s">
        <v>224</v>
      </c>
      <c r="T103" t="s">
        <v>232</v>
      </c>
      <c r="U103">
        <v>9.2200000000000006</v>
      </c>
      <c r="V103">
        <v>4.2</v>
      </c>
      <c r="W103">
        <v>594</v>
      </c>
      <c r="X103" s="26" t="b">
        <f t="shared" si="8"/>
        <v>1</v>
      </c>
      <c r="Y103" s="26" t="b">
        <f t="shared" si="9"/>
        <v>0</v>
      </c>
      <c r="Z103" s="26" t="b">
        <f t="shared" si="10"/>
        <v>0</v>
      </c>
      <c r="AA103" s="26" t="b">
        <f t="shared" si="11"/>
        <v>1</v>
      </c>
      <c r="AB103" s="26" t="b">
        <f t="shared" si="12"/>
        <v>1</v>
      </c>
      <c r="AC103" s="26" t="b">
        <f t="shared" si="13"/>
        <v>1</v>
      </c>
      <c r="AD103" s="26" t="b">
        <f t="shared" si="14"/>
        <v>0</v>
      </c>
      <c r="AE103" s="26" t="b">
        <f t="shared" ca="1" si="15"/>
        <v>1</v>
      </c>
    </row>
    <row r="104" spans="1:31" x14ac:dyDescent="0.3">
      <c r="A104" t="s">
        <v>125</v>
      </c>
      <c r="B104">
        <v>27</v>
      </c>
      <c r="C104">
        <v>3</v>
      </c>
      <c r="D104">
        <v>1.2</v>
      </c>
      <c r="E104">
        <v>4.0999999999999996</v>
      </c>
      <c r="F104">
        <v>99294</v>
      </c>
      <c r="G104" t="s">
        <v>223</v>
      </c>
      <c r="H104">
        <v>374</v>
      </c>
      <c r="I104" t="s">
        <v>225</v>
      </c>
      <c r="J104" s="2">
        <v>45839</v>
      </c>
      <c r="K104" t="s">
        <v>223</v>
      </c>
      <c r="L104" t="s">
        <v>224</v>
      </c>
      <c r="M104" t="s">
        <v>227</v>
      </c>
      <c r="N104" s="2">
        <v>45865</v>
      </c>
      <c r="O104" t="s">
        <v>230</v>
      </c>
      <c r="P104" t="s">
        <v>223</v>
      </c>
      <c r="Q104" t="s">
        <v>223</v>
      </c>
      <c r="R104">
        <v>7226</v>
      </c>
      <c r="S104" t="s">
        <v>223</v>
      </c>
      <c r="T104" t="s">
        <v>231</v>
      </c>
      <c r="U104">
        <v>9.14</v>
      </c>
      <c r="V104">
        <v>3.5</v>
      </c>
      <c r="W104">
        <v>1220</v>
      </c>
      <c r="X104" s="26" t="b">
        <f t="shared" si="8"/>
        <v>0</v>
      </c>
      <c r="Y104" s="26" t="b">
        <f t="shared" si="9"/>
        <v>0</v>
      </c>
      <c r="Z104" s="26" t="b">
        <f t="shared" si="10"/>
        <v>0</v>
      </c>
      <c r="AA104" s="26" t="b">
        <f t="shared" si="11"/>
        <v>0</v>
      </c>
      <c r="AB104" s="26" t="b">
        <f t="shared" si="12"/>
        <v>1</v>
      </c>
      <c r="AC104" s="26" t="b">
        <f t="shared" si="13"/>
        <v>0</v>
      </c>
      <c r="AD104" s="26" t="b">
        <f t="shared" si="14"/>
        <v>1</v>
      </c>
      <c r="AE104" s="26" t="b">
        <f t="shared" ca="1" si="15"/>
        <v>1</v>
      </c>
    </row>
    <row r="105" spans="1:31" x14ac:dyDescent="0.3">
      <c r="A105" t="s">
        <v>126</v>
      </c>
      <c r="B105">
        <v>16</v>
      </c>
      <c r="C105">
        <v>6</v>
      </c>
      <c r="D105">
        <v>4.7</v>
      </c>
      <c r="E105">
        <v>5.7</v>
      </c>
      <c r="F105">
        <v>57101</v>
      </c>
      <c r="G105" t="s">
        <v>224</v>
      </c>
      <c r="H105">
        <v>777</v>
      </c>
      <c r="I105" t="s">
        <v>226</v>
      </c>
      <c r="J105" s="2">
        <v>45871</v>
      </c>
      <c r="K105" t="s">
        <v>224</v>
      </c>
      <c r="L105" t="s">
        <v>224</v>
      </c>
      <c r="M105" t="s">
        <v>228</v>
      </c>
      <c r="N105" s="2">
        <v>45869</v>
      </c>
      <c r="O105" t="s">
        <v>229</v>
      </c>
      <c r="P105" t="s">
        <v>224</v>
      </c>
      <c r="Q105" t="s">
        <v>224</v>
      </c>
      <c r="R105">
        <v>7656</v>
      </c>
      <c r="S105" t="s">
        <v>224</v>
      </c>
      <c r="T105" t="s">
        <v>231</v>
      </c>
      <c r="U105">
        <v>4.1399999999999997</v>
      </c>
      <c r="V105">
        <v>2.8</v>
      </c>
      <c r="W105">
        <v>726</v>
      </c>
      <c r="X105" s="26" t="b">
        <f t="shared" si="8"/>
        <v>0</v>
      </c>
      <c r="Y105" s="26" t="b">
        <f t="shared" si="9"/>
        <v>1</v>
      </c>
      <c r="Z105" s="26" t="b">
        <f t="shared" si="10"/>
        <v>1</v>
      </c>
      <c r="AA105" s="26" t="b">
        <f t="shared" si="11"/>
        <v>1</v>
      </c>
      <c r="AB105" s="26" t="b">
        <f t="shared" si="12"/>
        <v>0</v>
      </c>
      <c r="AC105" s="26" t="b">
        <f t="shared" si="13"/>
        <v>1</v>
      </c>
      <c r="AD105" s="26" t="b">
        <f t="shared" si="14"/>
        <v>0</v>
      </c>
      <c r="AE105" s="26" t="b">
        <f t="shared" ca="1" si="15"/>
        <v>0</v>
      </c>
    </row>
    <row r="106" spans="1:31" x14ac:dyDescent="0.3">
      <c r="A106" t="s">
        <v>127</v>
      </c>
      <c r="B106">
        <v>14</v>
      </c>
      <c r="C106">
        <v>0</v>
      </c>
      <c r="D106">
        <v>2</v>
      </c>
      <c r="E106">
        <v>9.4</v>
      </c>
      <c r="F106">
        <v>95909</v>
      </c>
      <c r="G106" t="s">
        <v>224</v>
      </c>
      <c r="H106">
        <v>602</v>
      </c>
      <c r="I106" t="s">
        <v>225</v>
      </c>
      <c r="J106" s="2">
        <v>45878</v>
      </c>
      <c r="K106" t="s">
        <v>224</v>
      </c>
      <c r="L106" t="s">
        <v>223</v>
      </c>
      <c r="M106" t="s">
        <v>228</v>
      </c>
      <c r="N106" s="2">
        <v>45862</v>
      </c>
      <c r="O106" t="s">
        <v>230</v>
      </c>
      <c r="P106" t="s">
        <v>224</v>
      </c>
      <c r="Q106" t="s">
        <v>224</v>
      </c>
      <c r="R106">
        <v>17011</v>
      </c>
      <c r="S106" t="s">
        <v>224</v>
      </c>
      <c r="T106" t="s">
        <v>231</v>
      </c>
      <c r="U106">
        <v>1.68</v>
      </c>
      <c r="V106">
        <v>4</v>
      </c>
      <c r="W106">
        <v>673</v>
      </c>
      <c r="X106" s="26" t="b">
        <f t="shared" si="8"/>
        <v>0</v>
      </c>
      <c r="Y106" s="26" t="b">
        <f t="shared" si="9"/>
        <v>0</v>
      </c>
      <c r="Z106" s="26" t="b">
        <f t="shared" si="10"/>
        <v>1</v>
      </c>
      <c r="AA106" s="26" t="b">
        <f t="shared" si="11"/>
        <v>0</v>
      </c>
      <c r="AB106" s="26" t="b">
        <f t="shared" si="12"/>
        <v>0</v>
      </c>
      <c r="AC106" s="26" t="b">
        <f t="shared" si="13"/>
        <v>1</v>
      </c>
      <c r="AD106" s="26" t="b">
        <f t="shared" si="14"/>
        <v>0</v>
      </c>
      <c r="AE106" s="26" t="b">
        <f t="shared" ca="1" si="15"/>
        <v>1</v>
      </c>
    </row>
    <row r="107" spans="1:31" x14ac:dyDescent="0.3">
      <c r="A107" t="s">
        <v>128</v>
      </c>
      <c r="B107">
        <v>14</v>
      </c>
      <c r="C107">
        <v>8</v>
      </c>
      <c r="D107">
        <v>3</v>
      </c>
      <c r="E107">
        <v>9.1999999999999993</v>
      </c>
      <c r="F107">
        <v>91058</v>
      </c>
      <c r="G107" t="s">
        <v>223</v>
      </c>
      <c r="H107">
        <v>836</v>
      </c>
      <c r="I107" t="s">
        <v>225</v>
      </c>
      <c r="J107" s="2">
        <v>45837</v>
      </c>
      <c r="K107" t="s">
        <v>223</v>
      </c>
      <c r="L107" t="s">
        <v>223</v>
      </c>
      <c r="M107" t="s">
        <v>227</v>
      </c>
      <c r="N107" s="2">
        <v>45868</v>
      </c>
      <c r="O107" t="s">
        <v>229</v>
      </c>
      <c r="P107" t="s">
        <v>223</v>
      </c>
      <c r="Q107" t="s">
        <v>223</v>
      </c>
      <c r="R107">
        <v>5948</v>
      </c>
      <c r="S107" t="s">
        <v>223</v>
      </c>
      <c r="T107" t="s">
        <v>232</v>
      </c>
      <c r="U107">
        <v>5.0599999999999996</v>
      </c>
      <c r="V107">
        <v>1.9</v>
      </c>
      <c r="W107">
        <v>1132</v>
      </c>
      <c r="X107" s="26" t="b">
        <f t="shared" si="8"/>
        <v>0</v>
      </c>
      <c r="Y107" s="26" t="b">
        <f t="shared" si="9"/>
        <v>0</v>
      </c>
      <c r="Z107" s="26" t="b">
        <f t="shared" si="10"/>
        <v>1</v>
      </c>
      <c r="AA107" s="26" t="b">
        <f t="shared" si="11"/>
        <v>0</v>
      </c>
      <c r="AB107" s="26" t="b">
        <f t="shared" si="12"/>
        <v>1</v>
      </c>
      <c r="AC107" s="26" t="b">
        <f t="shared" si="13"/>
        <v>0</v>
      </c>
      <c r="AD107" s="26" t="b">
        <f t="shared" si="14"/>
        <v>0</v>
      </c>
      <c r="AE107" s="26" t="b">
        <f t="shared" ca="1" si="15"/>
        <v>0</v>
      </c>
    </row>
    <row r="108" spans="1:31" x14ac:dyDescent="0.3">
      <c r="A108" t="s">
        <v>129</v>
      </c>
      <c r="B108">
        <v>30</v>
      </c>
      <c r="C108">
        <v>10</v>
      </c>
      <c r="D108">
        <v>4.7</v>
      </c>
      <c r="E108">
        <v>9.1999999999999993</v>
      </c>
      <c r="F108">
        <v>83944</v>
      </c>
      <c r="G108" t="s">
        <v>223</v>
      </c>
      <c r="H108">
        <v>306</v>
      </c>
      <c r="I108" t="s">
        <v>226</v>
      </c>
      <c r="J108" s="2">
        <v>45890</v>
      </c>
      <c r="K108" t="s">
        <v>223</v>
      </c>
      <c r="L108" t="s">
        <v>224</v>
      </c>
      <c r="M108" t="s">
        <v>228</v>
      </c>
      <c r="N108" s="2">
        <v>45855</v>
      </c>
      <c r="O108" t="s">
        <v>230</v>
      </c>
      <c r="P108" t="s">
        <v>223</v>
      </c>
      <c r="Q108" t="s">
        <v>223</v>
      </c>
      <c r="R108">
        <v>4156</v>
      </c>
      <c r="S108" t="s">
        <v>223</v>
      </c>
      <c r="T108" t="s">
        <v>232</v>
      </c>
      <c r="U108">
        <v>1.92</v>
      </c>
      <c r="V108">
        <v>2.6</v>
      </c>
      <c r="W108">
        <v>1334</v>
      </c>
      <c r="X108" s="26" t="b">
        <f t="shared" si="8"/>
        <v>0</v>
      </c>
      <c r="Y108" s="26" t="b">
        <f t="shared" si="9"/>
        <v>1</v>
      </c>
      <c r="Z108" s="26" t="b">
        <f t="shared" si="10"/>
        <v>0</v>
      </c>
      <c r="AA108" s="26" t="b">
        <f t="shared" si="11"/>
        <v>0</v>
      </c>
      <c r="AB108" s="26" t="b">
        <f t="shared" si="12"/>
        <v>1</v>
      </c>
      <c r="AC108" s="26" t="b">
        <f t="shared" si="13"/>
        <v>0</v>
      </c>
      <c r="AD108" s="26" t="b">
        <f t="shared" si="14"/>
        <v>0</v>
      </c>
      <c r="AE108" s="26" t="b">
        <f t="shared" ca="1" si="15"/>
        <v>1</v>
      </c>
    </row>
    <row r="109" spans="1:31" x14ac:dyDescent="0.3">
      <c r="A109" t="s">
        <v>130</v>
      </c>
      <c r="B109">
        <v>21</v>
      </c>
      <c r="C109">
        <v>4</v>
      </c>
      <c r="D109">
        <v>4.2</v>
      </c>
      <c r="E109">
        <v>1.3</v>
      </c>
      <c r="F109">
        <v>73218</v>
      </c>
      <c r="G109" t="s">
        <v>224</v>
      </c>
      <c r="H109">
        <v>549</v>
      </c>
      <c r="I109" t="s">
        <v>225</v>
      </c>
      <c r="J109" s="2">
        <v>45871</v>
      </c>
      <c r="K109" t="s">
        <v>223</v>
      </c>
      <c r="L109" t="s">
        <v>223</v>
      </c>
      <c r="M109" t="s">
        <v>227</v>
      </c>
      <c r="N109" s="2">
        <v>45867</v>
      </c>
      <c r="O109" t="s">
        <v>230</v>
      </c>
      <c r="P109" t="s">
        <v>224</v>
      </c>
      <c r="Q109" t="s">
        <v>224</v>
      </c>
      <c r="R109">
        <v>2838</v>
      </c>
      <c r="S109" t="s">
        <v>223</v>
      </c>
      <c r="T109" t="s">
        <v>232</v>
      </c>
      <c r="U109">
        <v>0.83</v>
      </c>
      <c r="V109">
        <v>4.2</v>
      </c>
      <c r="W109">
        <v>1160</v>
      </c>
      <c r="X109" s="26" t="b">
        <f t="shared" si="8"/>
        <v>0</v>
      </c>
      <c r="Y109" s="26" t="b">
        <f t="shared" si="9"/>
        <v>0</v>
      </c>
      <c r="Z109" s="26" t="b">
        <f t="shared" si="10"/>
        <v>1</v>
      </c>
      <c r="AA109" s="26" t="b">
        <f t="shared" si="11"/>
        <v>0</v>
      </c>
      <c r="AB109" s="26" t="b">
        <f t="shared" si="12"/>
        <v>1</v>
      </c>
      <c r="AC109" s="26" t="b">
        <f t="shared" si="13"/>
        <v>0</v>
      </c>
      <c r="AD109" s="26" t="b">
        <f t="shared" si="14"/>
        <v>0</v>
      </c>
      <c r="AE109" s="26" t="b">
        <f t="shared" ca="1" si="15"/>
        <v>0</v>
      </c>
    </row>
    <row r="110" spans="1:31" x14ac:dyDescent="0.3">
      <c r="A110" t="s">
        <v>131</v>
      </c>
      <c r="B110">
        <v>20</v>
      </c>
      <c r="C110">
        <v>9</v>
      </c>
      <c r="D110">
        <v>4.9000000000000004</v>
      </c>
      <c r="E110">
        <v>9.8000000000000007</v>
      </c>
      <c r="F110">
        <v>89226</v>
      </c>
      <c r="G110" t="s">
        <v>223</v>
      </c>
      <c r="H110">
        <v>535</v>
      </c>
      <c r="I110" t="s">
        <v>225</v>
      </c>
      <c r="J110" s="2">
        <v>45833</v>
      </c>
      <c r="K110" t="s">
        <v>224</v>
      </c>
      <c r="L110" t="s">
        <v>224</v>
      </c>
      <c r="M110" t="s">
        <v>227</v>
      </c>
      <c r="N110" s="2">
        <v>45857</v>
      </c>
      <c r="O110" t="s">
        <v>230</v>
      </c>
      <c r="P110" t="s">
        <v>223</v>
      </c>
      <c r="Q110" t="s">
        <v>223</v>
      </c>
      <c r="R110">
        <v>11305</v>
      </c>
      <c r="S110" t="s">
        <v>223</v>
      </c>
      <c r="T110" t="s">
        <v>232</v>
      </c>
      <c r="U110">
        <v>5.87</v>
      </c>
      <c r="V110">
        <v>3.8</v>
      </c>
      <c r="W110">
        <v>1229</v>
      </c>
      <c r="X110" s="26" t="b">
        <f t="shared" si="8"/>
        <v>0</v>
      </c>
      <c r="Y110" s="26" t="b">
        <f t="shared" si="9"/>
        <v>1</v>
      </c>
      <c r="Z110" s="26" t="b">
        <f t="shared" si="10"/>
        <v>0</v>
      </c>
      <c r="AA110" s="26" t="b">
        <f t="shared" si="11"/>
        <v>0</v>
      </c>
      <c r="AB110" s="26" t="b">
        <f t="shared" si="12"/>
        <v>0</v>
      </c>
      <c r="AC110" s="26" t="b">
        <f t="shared" si="13"/>
        <v>0</v>
      </c>
      <c r="AD110" s="26" t="b">
        <f t="shared" si="14"/>
        <v>0</v>
      </c>
      <c r="AE110" s="26" t="b">
        <f t="shared" ca="1" si="15"/>
        <v>1</v>
      </c>
    </row>
    <row r="111" spans="1:31" x14ac:dyDescent="0.3">
      <c r="A111" t="s">
        <v>132</v>
      </c>
      <c r="B111">
        <v>22</v>
      </c>
      <c r="C111">
        <v>1</v>
      </c>
      <c r="D111">
        <v>2.2000000000000002</v>
      </c>
      <c r="E111">
        <v>5.9</v>
      </c>
      <c r="F111">
        <v>94277</v>
      </c>
      <c r="G111" t="s">
        <v>224</v>
      </c>
      <c r="H111">
        <v>639</v>
      </c>
      <c r="I111" t="s">
        <v>226</v>
      </c>
      <c r="J111" s="2">
        <v>45842</v>
      </c>
      <c r="K111" t="s">
        <v>223</v>
      </c>
      <c r="L111" t="s">
        <v>223</v>
      </c>
      <c r="M111" t="s">
        <v>228</v>
      </c>
      <c r="N111" s="2">
        <v>45856</v>
      </c>
      <c r="O111" t="s">
        <v>229</v>
      </c>
      <c r="P111" t="s">
        <v>224</v>
      </c>
      <c r="Q111" t="s">
        <v>223</v>
      </c>
      <c r="R111">
        <v>3490</v>
      </c>
      <c r="S111" t="s">
        <v>224</v>
      </c>
      <c r="T111" t="s">
        <v>231</v>
      </c>
      <c r="U111">
        <v>9.69</v>
      </c>
      <c r="V111">
        <v>1.6</v>
      </c>
      <c r="W111">
        <v>1149</v>
      </c>
      <c r="X111" s="26" t="b">
        <f t="shared" si="8"/>
        <v>1</v>
      </c>
      <c r="Y111" s="26" t="b">
        <f t="shared" si="9"/>
        <v>0</v>
      </c>
      <c r="Z111" s="26" t="b">
        <f t="shared" si="10"/>
        <v>1</v>
      </c>
      <c r="AA111" s="26" t="b">
        <f t="shared" si="11"/>
        <v>0</v>
      </c>
      <c r="AB111" s="26" t="b">
        <f t="shared" si="12"/>
        <v>0</v>
      </c>
      <c r="AC111" s="26" t="b">
        <f t="shared" si="13"/>
        <v>0</v>
      </c>
      <c r="AD111" s="26" t="b">
        <f t="shared" si="14"/>
        <v>0</v>
      </c>
      <c r="AE111" s="26" t="b">
        <f t="shared" ca="1" si="15"/>
        <v>1</v>
      </c>
    </row>
    <row r="112" spans="1:31" x14ac:dyDescent="0.3">
      <c r="A112" t="s">
        <v>133</v>
      </c>
      <c r="B112">
        <v>18</v>
      </c>
      <c r="C112">
        <v>7</v>
      </c>
      <c r="D112">
        <v>3</v>
      </c>
      <c r="E112">
        <v>3.9</v>
      </c>
      <c r="F112">
        <v>69207</v>
      </c>
      <c r="G112" t="s">
        <v>224</v>
      </c>
      <c r="H112">
        <v>490</v>
      </c>
      <c r="I112" t="s">
        <v>226</v>
      </c>
      <c r="J112" s="2">
        <v>45885</v>
      </c>
      <c r="K112" t="s">
        <v>224</v>
      </c>
      <c r="L112" t="s">
        <v>223</v>
      </c>
      <c r="M112" t="s">
        <v>227</v>
      </c>
      <c r="N112" s="2">
        <v>45857</v>
      </c>
      <c r="O112" t="s">
        <v>230</v>
      </c>
      <c r="P112" t="s">
        <v>223</v>
      </c>
      <c r="Q112" t="s">
        <v>224</v>
      </c>
      <c r="R112">
        <v>6055</v>
      </c>
      <c r="S112" t="s">
        <v>224</v>
      </c>
      <c r="T112" t="s">
        <v>231</v>
      </c>
      <c r="U112">
        <v>3.61</v>
      </c>
      <c r="V112">
        <v>0.5</v>
      </c>
      <c r="W112">
        <v>1465</v>
      </c>
      <c r="X112" s="26" t="b">
        <f t="shared" si="8"/>
        <v>0</v>
      </c>
      <c r="Y112" s="26" t="b">
        <f t="shared" si="9"/>
        <v>0</v>
      </c>
      <c r="Z112" s="26" t="b">
        <f t="shared" si="10"/>
        <v>1</v>
      </c>
      <c r="AA112" s="26" t="b">
        <f t="shared" si="11"/>
        <v>1</v>
      </c>
      <c r="AB112" s="26" t="b">
        <f t="shared" si="12"/>
        <v>0</v>
      </c>
      <c r="AC112" s="26" t="b">
        <f t="shared" si="13"/>
        <v>0</v>
      </c>
      <c r="AD112" s="26" t="b">
        <f t="shared" si="14"/>
        <v>0</v>
      </c>
      <c r="AE112" s="26" t="b">
        <f t="shared" ca="1" si="15"/>
        <v>1</v>
      </c>
    </row>
    <row r="113" spans="1:31" x14ac:dyDescent="0.3">
      <c r="A113" t="s">
        <v>134</v>
      </c>
      <c r="B113">
        <v>19</v>
      </c>
      <c r="C113">
        <v>7</v>
      </c>
      <c r="D113">
        <v>2.4</v>
      </c>
      <c r="E113">
        <v>3.1</v>
      </c>
      <c r="F113">
        <v>37367</v>
      </c>
      <c r="G113" t="s">
        <v>223</v>
      </c>
      <c r="H113">
        <v>491</v>
      </c>
      <c r="I113" t="s">
        <v>226</v>
      </c>
      <c r="J113" s="2">
        <v>45862</v>
      </c>
      <c r="K113" t="s">
        <v>224</v>
      </c>
      <c r="L113" t="s">
        <v>223</v>
      </c>
      <c r="M113" t="s">
        <v>227</v>
      </c>
      <c r="N113" s="2">
        <v>45857</v>
      </c>
      <c r="O113" t="s">
        <v>230</v>
      </c>
      <c r="P113" t="s">
        <v>223</v>
      </c>
      <c r="Q113" t="s">
        <v>224</v>
      </c>
      <c r="R113">
        <v>13623</v>
      </c>
      <c r="S113" t="s">
        <v>223</v>
      </c>
      <c r="T113" t="s">
        <v>231</v>
      </c>
      <c r="U113">
        <v>4.1399999999999997</v>
      </c>
      <c r="V113">
        <v>3.9</v>
      </c>
      <c r="W113">
        <v>1242</v>
      </c>
      <c r="X113" s="26" t="b">
        <f t="shared" si="8"/>
        <v>0</v>
      </c>
      <c r="Y113" s="26" t="b">
        <f t="shared" si="9"/>
        <v>0</v>
      </c>
      <c r="Z113" s="26" t="b">
        <f t="shared" si="10"/>
        <v>0</v>
      </c>
      <c r="AA113" s="26" t="b">
        <f t="shared" si="11"/>
        <v>1</v>
      </c>
      <c r="AB113" s="26" t="b">
        <f t="shared" si="12"/>
        <v>0</v>
      </c>
      <c r="AC113" s="26" t="b">
        <f t="shared" si="13"/>
        <v>0</v>
      </c>
      <c r="AD113" s="26" t="b">
        <f t="shared" si="14"/>
        <v>0</v>
      </c>
      <c r="AE113" s="26" t="b">
        <f t="shared" ca="1" si="15"/>
        <v>1</v>
      </c>
    </row>
    <row r="114" spans="1:31" x14ac:dyDescent="0.3">
      <c r="A114" t="s">
        <v>135</v>
      </c>
      <c r="B114">
        <v>27</v>
      </c>
      <c r="C114">
        <v>3</v>
      </c>
      <c r="D114">
        <v>3.3</v>
      </c>
      <c r="E114">
        <v>2.1</v>
      </c>
      <c r="F114">
        <v>69903</v>
      </c>
      <c r="G114" t="s">
        <v>223</v>
      </c>
      <c r="H114">
        <v>442</v>
      </c>
      <c r="I114" t="s">
        <v>226</v>
      </c>
      <c r="J114" s="2">
        <v>45871</v>
      </c>
      <c r="K114" t="s">
        <v>224</v>
      </c>
      <c r="L114" t="s">
        <v>224</v>
      </c>
      <c r="M114" t="s">
        <v>227</v>
      </c>
      <c r="N114" s="2">
        <v>45857</v>
      </c>
      <c r="O114" t="s">
        <v>229</v>
      </c>
      <c r="P114" t="s">
        <v>224</v>
      </c>
      <c r="Q114" t="s">
        <v>224</v>
      </c>
      <c r="R114">
        <v>14798</v>
      </c>
      <c r="S114" t="s">
        <v>224</v>
      </c>
      <c r="T114" t="s">
        <v>231</v>
      </c>
      <c r="U114">
        <v>7.83</v>
      </c>
      <c r="V114">
        <v>1.8</v>
      </c>
      <c r="W114">
        <v>1466</v>
      </c>
      <c r="X114" s="26" t="b">
        <f t="shared" si="8"/>
        <v>0</v>
      </c>
      <c r="Y114" s="26" t="b">
        <f t="shared" si="9"/>
        <v>0</v>
      </c>
      <c r="Z114" s="26" t="b">
        <f t="shared" si="10"/>
        <v>0</v>
      </c>
      <c r="AA114" s="26" t="b">
        <f t="shared" si="11"/>
        <v>1</v>
      </c>
      <c r="AB114" s="26" t="b">
        <f t="shared" si="12"/>
        <v>0</v>
      </c>
      <c r="AC114" s="26" t="b">
        <f t="shared" si="13"/>
        <v>0</v>
      </c>
      <c r="AD114" s="26" t="b">
        <f t="shared" si="14"/>
        <v>0</v>
      </c>
      <c r="AE114" s="26" t="b">
        <f t="shared" ca="1" si="15"/>
        <v>1</v>
      </c>
    </row>
    <row r="115" spans="1:31" x14ac:dyDescent="0.3">
      <c r="A115" t="s">
        <v>136</v>
      </c>
      <c r="B115">
        <v>17</v>
      </c>
      <c r="C115">
        <v>10</v>
      </c>
      <c r="D115">
        <v>3</v>
      </c>
      <c r="E115">
        <v>6.4</v>
      </c>
      <c r="F115">
        <v>80012</v>
      </c>
      <c r="G115" t="s">
        <v>223</v>
      </c>
      <c r="H115">
        <v>438</v>
      </c>
      <c r="I115" t="s">
        <v>226</v>
      </c>
      <c r="J115" s="2">
        <v>45890</v>
      </c>
      <c r="K115" t="s">
        <v>224</v>
      </c>
      <c r="L115" t="s">
        <v>224</v>
      </c>
      <c r="M115" t="s">
        <v>228</v>
      </c>
      <c r="N115" s="2">
        <v>45865</v>
      </c>
      <c r="O115" t="s">
        <v>230</v>
      </c>
      <c r="P115" t="s">
        <v>224</v>
      </c>
      <c r="Q115" t="s">
        <v>224</v>
      </c>
      <c r="R115">
        <v>5460</v>
      </c>
      <c r="S115" t="s">
        <v>224</v>
      </c>
      <c r="T115" t="s">
        <v>231</v>
      </c>
      <c r="U115">
        <v>6.03</v>
      </c>
      <c r="V115">
        <v>3.5</v>
      </c>
      <c r="W115">
        <v>990</v>
      </c>
      <c r="X115" s="26" t="b">
        <f t="shared" si="8"/>
        <v>0</v>
      </c>
      <c r="Y115" s="26" t="b">
        <f t="shared" si="9"/>
        <v>0</v>
      </c>
      <c r="Z115" s="26" t="b">
        <f t="shared" si="10"/>
        <v>0</v>
      </c>
      <c r="AA115" s="26" t="b">
        <f t="shared" si="11"/>
        <v>0</v>
      </c>
      <c r="AB115" s="26" t="b">
        <f t="shared" si="12"/>
        <v>0</v>
      </c>
      <c r="AC115" s="26" t="b">
        <f t="shared" si="13"/>
        <v>1</v>
      </c>
      <c r="AD115" s="26" t="b">
        <f t="shared" si="14"/>
        <v>0</v>
      </c>
      <c r="AE115" s="26" t="b">
        <f t="shared" ca="1" si="15"/>
        <v>0</v>
      </c>
    </row>
    <row r="116" spans="1:31" x14ac:dyDescent="0.3">
      <c r="A116" t="s">
        <v>137</v>
      </c>
      <c r="B116">
        <v>20</v>
      </c>
      <c r="C116">
        <v>2</v>
      </c>
      <c r="D116">
        <v>4.9000000000000004</v>
      </c>
      <c r="E116">
        <v>9.6999999999999993</v>
      </c>
      <c r="F116">
        <v>58200</v>
      </c>
      <c r="G116" t="s">
        <v>224</v>
      </c>
      <c r="H116">
        <v>548</v>
      </c>
      <c r="I116" t="s">
        <v>226</v>
      </c>
      <c r="J116" s="2">
        <v>45866</v>
      </c>
      <c r="K116" t="s">
        <v>224</v>
      </c>
      <c r="L116" t="s">
        <v>224</v>
      </c>
      <c r="M116" t="s">
        <v>228</v>
      </c>
      <c r="N116" s="2">
        <v>45858</v>
      </c>
      <c r="O116" t="s">
        <v>229</v>
      </c>
      <c r="P116" t="s">
        <v>223</v>
      </c>
      <c r="Q116" t="s">
        <v>223</v>
      </c>
      <c r="R116">
        <v>16126</v>
      </c>
      <c r="S116" t="s">
        <v>223</v>
      </c>
      <c r="T116" t="s">
        <v>231</v>
      </c>
      <c r="U116">
        <v>7.98</v>
      </c>
      <c r="V116">
        <v>4.2</v>
      </c>
      <c r="W116">
        <v>570</v>
      </c>
      <c r="X116" s="26" t="b">
        <f t="shared" si="8"/>
        <v>0</v>
      </c>
      <c r="Y116" s="26" t="b">
        <f t="shared" si="9"/>
        <v>1</v>
      </c>
      <c r="Z116" s="26" t="b">
        <f t="shared" si="10"/>
        <v>1</v>
      </c>
      <c r="AA116" s="26" t="b">
        <f t="shared" si="11"/>
        <v>0</v>
      </c>
      <c r="AB116" s="26" t="b">
        <f t="shared" si="12"/>
        <v>0</v>
      </c>
      <c r="AC116" s="26" t="b">
        <f t="shared" si="13"/>
        <v>1</v>
      </c>
      <c r="AD116" s="26" t="b">
        <f t="shared" si="14"/>
        <v>0</v>
      </c>
      <c r="AE116" s="26" t="b">
        <f t="shared" ca="1" si="15"/>
        <v>1</v>
      </c>
    </row>
    <row r="117" spans="1:31" x14ac:dyDescent="0.3">
      <c r="A117" t="s">
        <v>138</v>
      </c>
      <c r="B117">
        <v>23</v>
      </c>
      <c r="C117">
        <v>10</v>
      </c>
      <c r="D117">
        <v>3</v>
      </c>
      <c r="E117">
        <v>6.5</v>
      </c>
      <c r="F117">
        <v>51722</v>
      </c>
      <c r="G117" t="s">
        <v>224</v>
      </c>
      <c r="H117">
        <v>457</v>
      </c>
      <c r="I117" t="s">
        <v>226</v>
      </c>
      <c r="J117" s="2">
        <v>45840</v>
      </c>
      <c r="K117" t="s">
        <v>224</v>
      </c>
      <c r="L117" t="s">
        <v>223</v>
      </c>
      <c r="M117" t="s">
        <v>228</v>
      </c>
      <c r="N117" s="2">
        <v>45870</v>
      </c>
      <c r="O117" t="s">
        <v>230</v>
      </c>
      <c r="P117" t="s">
        <v>224</v>
      </c>
      <c r="Q117" t="s">
        <v>223</v>
      </c>
      <c r="R117">
        <v>12781</v>
      </c>
      <c r="S117" t="s">
        <v>223</v>
      </c>
      <c r="T117" t="s">
        <v>232</v>
      </c>
      <c r="U117">
        <v>7.69</v>
      </c>
      <c r="V117">
        <v>3.3</v>
      </c>
      <c r="W117">
        <v>863</v>
      </c>
      <c r="X117" s="26" t="b">
        <f t="shared" si="8"/>
        <v>0</v>
      </c>
      <c r="Y117" s="26" t="b">
        <f t="shared" si="9"/>
        <v>0</v>
      </c>
      <c r="Z117" s="26" t="b">
        <f t="shared" si="10"/>
        <v>1</v>
      </c>
      <c r="AA117" s="26" t="b">
        <f t="shared" si="11"/>
        <v>0</v>
      </c>
      <c r="AB117" s="26" t="b">
        <f t="shared" si="12"/>
        <v>0</v>
      </c>
      <c r="AC117" s="26" t="b">
        <f t="shared" si="13"/>
        <v>1</v>
      </c>
      <c r="AD117" s="26" t="b">
        <f t="shared" si="14"/>
        <v>0</v>
      </c>
      <c r="AE117" s="26" t="b">
        <f t="shared" ca="1" si="15"/>
        <v>0</v>
      </c>
    </row>
    <row r="118" spans="1:31" x14ac:dyDescent="0.3">
      <c r="A118" t="s">
        <v>139</v>
      </c>
      <c r="B118">
        <v>15</v>
      </c>
      <c r="C118">
        <v>10</v>
      </c>
      <c r="D118">
        <v>3.5</v>
      </c>
      <c r="E118">
        <v>5.9</v>
      </c>
      <c r="F118">
        <v>72378</v>
      </c>
      <c r="G118" t="s">
        <v>224</v>
      </c>
      <c r="H118">
        <v>740</v>
      </c>
      <c r="I118" t="s">
        <v>225</v>
      </c>
      <c r="J118" s="2">
        <v>45890</v>
      </c>
      <c r="K118" t="s">
        <v>223</v>
      </c>
      <c r="L118" t="s">
        <v>224</v>
      </c>
      <c r="M118" t="s">
        <v>227</v>
      </c>
      <c r="N118" s="2">
        <v>45862</v>
      </c>
      <c r="O118" t="s">
        <v>230</v>
      </c>
      <c r="P118" t="s">
        <v>224</v>
      </c>
      <c r="Q118" t="s">
        <v>224</v>
      </c>
      <c r="R118">
        <v>16173</v>
      </c>
      <c r="S118" t="s">
        <v>223</v>
      </c>
      <c r="T118" t="s">
        <v>231</v>
      </c>
      <c r="U118">
        <v>9.98</v>
      </c>
      <c r="V118">
        <v>2.4</v>
      </c>
      <c r="W118">
        <v>802</v>
      </c>
      <c r="X118" s="26" t="b">
        <f t="shared" si="8"/>
        <v>0</v>
      </c>
      <c r="Y118" s="26" t="b">
        <f t="shared" si="9"/>
        <v>0</v>
      </c>
      <c r="Z118" s="26" t="b">
        <f t="shared" si="10"/>
        <v>1</v>
      </c>
      <c r="AA118" s="26" t="b">
        <f t="shared" si="11"/>
        <v>0</v>
      </c>
      <c r="AB118" s="26" t="b">
        <f t="shared" si="12"/>
        <v>0</v>
      </c>
      <c r="AC118" s="26" t="b">
        <f t="shared" si="13"/>
        <v>1</v>
      </c>
      <c r="AD118" s="26" t="b">
        <f t="shared" si="14"/>
        <v>0</v>
      </c>
      <c r="AE118" s="26" t="b">
        <f t="shared" ca="1" si="15"/>
        <v>1</v>
      </c>
    </row>
    <row r="119" spans="1:31" x14ac:dyDescent="0.3">
      <c r="A119" t="s">
        <v>140</v>
      </c>
      <c r="B119">
        <v>23</v>
      </c>
      <c r="C119">
        <v>1</v>
      </c>
      <c r="D119">
        <v>1.5</v>
      </c>
      <c r="E119">
        <v>9.4</v>
      </c>
      <c r="F119">
        <v>38569</v>
      </c>
      <c r="G119" t="s">
        <v>224</v>
      </c>
      <c r="H119">
        <v>619</v>
      </c>
      <c r="I119" t="s">
        <v>226</v>
      </c>
      <c r="J119" s="2">
        <v>45861</v>
      </c>
      <c r="K119" t="s">
        <v>223</v>
      </c>
      <c r="L119" t="s">
        <v>224</v>
      </c>
      <c r="M119" t="s">
        <v>228</v>
      </c>
      <c r="N119" s="2">
        <v>45870</v>
      </c>
      <c r="O119" t="s">
        <v>229</v>
      </c>
      <c r="P119" t="s">
        <v>224</v>
      </c>
      <c r="Q119" t="s">
        <v>224</v>
      </c>
      <c r="R119">
        <v>11450</v>
      </c>
      <c r="S119" t="s">
        <v>223</v>
      </c>
      <c r="T119" t="s">
        <v>231</v>
      </c>
      <c r="U119">
        <v>0.45</v>
      </c>
      <c r="V119">
        <v>3.6</v>
      </c>
      <c r="W119">
        <v>523</v>
      </c>
      <c r="X119" s="26" t="b">
        <f t="shared" si="8"/>
        <v>1</v>
      </c>
      <c r="Y119" s="26" t="b">
        <f t="shared" si="9"/>
        <v>0</v>
      </c>
      <c r="Z119" s="26" t="b">
        <f t="shared" si="10"/>
        <v>0</v>
      </c>
      <c r="AA119" s="26" t="b">
        <f t="shared" si="11"/>
        <v>1</v>
      </c>
      <c r="AB119" s="26" t="b">
        <f t="shared" si="12"/>
        <v>0</v>
      </c>
      <c r="AC119" s="26" t="b">
        <f t="shared" si="13"/>
        <v>1</v>
      </c>
      <c r="AD119" s="26" t="b">
        <f t="shared" si="14"/>
        <v>1</v>
      </c>
      <c r="AE119" s="26" t="b">
        <f t="shared" ca="1" si="15"/>
        <v>0</v>
      </c>
    </row>
    <row r="120" spans="1:31" x14ac:dyDescent="0.3">
      <c r="A120" t="s">
        <v>141</v>
      </c>
      <c r="B120">
        <v>20</v>
      </c>
      <c r="C120">
        <v>10</v>
      </c>
      <c r="D120">
        <v>1.4</v>
      </c>
      <c r="E120">
        <v>8.1</v>
      </c>
      <c r="F120">
        <v>51970</v>
      </c>
      <c r="G120" t="s">
        <v>223</v>
      </c>
      <c r="H120">
        <v>463</v>
      </c>
      <c r="I120" t="s">
        <v>226</v>
      </c>
      <c r="J120" s="2">
        <v>45855</v>
      </c>
      <c r="K120" t="s">
        <v>224</v>
      </c>
      <c r="L120" t="s">
        <v>224</v>
      </c>
      <c r="M120" t="s">
        <v>227</v>
      </c>
      <c r="N120" s="2">
        <v>45867</v>
      </c>
      <c r="O120" t="s">
        <v>229</v>
      </c>
      <c r="P120" t="s">
        <v>223</v>
      </c>
      <c r="Q120" t="s">
        <v>224</v>
      </c>
      <c r="R120">
        <v>13962</v>
      </c>
      <c r="S120" t="s">
        <v>223</v>
      </c>
      <c r="T120" t="s">
        <v>232</v>
      </c>
      <c r="U120">
        <v>4.5</v>
      </c>
      <c r="V120">
        <v>2.1</v>
      </c>
      <c r="W120">
        <v>504</v>
      </c>
      <c r="X120" s="26" t="b">
        <f t="shared" si="8"/>
        <v>0</v>
      </c>
      <c r="Y120" s="26" t="b">
        <f t="shared" si="9"/>
        <v>0</v>
      </c>
      <c r="Z120" s="26" t="b">
        <f t="shared" si="10"/>
        <v>0</v>
      </c>
      <c r="AA120" s="26" t="b">
        <f t="shared" si="11"/>
        <v>1</v>
      </c>
      <c r="AB120" s="26" t="b">
        <f t="shared" si="12"/>
        <v>0</v>
      </c>
      <c r="AC120" s="26" t="b">
        <f t="shared" si="13"/>
        <v>1</v>
      </c>
      <c r="AD120" s="26" t="b">
        <f t="shared" si="14"/>
        <v>1</v>
      </c>
      <c r="AE120" s="26" t="b">
        <f t="shared" ca="1" si="15"/>
        <v>1</v>
      </c>
    </row>
    <row r="121" spans="1:31" x14ac:dyDescent="0.3">
      <c r="A121" t="s">
        <v>142</v>
      </c>
      <c r="B121">
        <v>16</v>
      </c>
      <c r="C121">
        <v>3</v>
      </c>
      <c r="D121">
        <v>2.1</v>
      </c>
      <c r="E121">
        <v>7.2</v>
      </c>
      <c r="F121">
        <v>28200</v>
      </c>
      <c r="G121" t="s">
        <v>223</v>
      </c>
      <c r="H121">
        <v>849</v>
      </c>
      <c r="I121" t="s">
        <v>225</v>
      </c>
      <c r="J121" s="2">
        <v>45867</v>
      </c>
      <c r="K121" t="s">
        <v>224</v>
      </c>
      <c r="L121" t="s">
        <v>223</v>
      </c>
      <c r="M121" t="s">
        <v>228</v>
      </c>
      <c r="N121" s="2">
        <v>45858</v>
      </c>
      <c r="O121" t="s">
        <v>230</v>
      </c>
      <c r="P121" t="s">
        <v>224</v>
      </c>
      <c r="Q121" t="s">
        <v>224</v>
      </c>
      <c r="R121">
        <v>13734</v>
      </c>
      <c r="S121" t="s">
        <v>224</v>
      </c>
      <c r="T121" t="s">
        <v>232</v>
      </c>
      <c r="U121">
        <v>3.48</v>
      </c>
      <c r="V121">
        <v>4.2</v>
      </c>
      <c r="W121">
        <v>1132</v>
      </c>
      <c r="X121" s="26" t="b">
        <f t="shared" si="8"/>
        <v>0</v>
      </c>
      <c r="Y121" s="26" t="b">
        <f t="shared" si="9"/>
        <v>0</v>
      </c>
      <c r="Z121" s="26" t="b">
        <f t="shared" si="10"/>
        <v>0</v>
      </c>
      <c r="AA121" s="26" t="b">
        <f t="shared" si="11"/>
        <v>0</v>
      </c>
      <c r="AB121" s="26" t="b">
        <f t="shared" si="12"/>
        <v>0</v>
      </c>
      <c r="AC121" s="26" t="b">
        <f t="shared" si="13"/>
        <v>0</v>
      </c>
      <c r="AD121" s="26" t="b">
        <f t="shared" si="14"/>
        <v>0</v>
      </c>
      <c r="AE121" s="26" t="b">
        <f t="shared" ca="1" si="15"/>
        <v>1</v>
      </c>
    </row>
    <row r="122" spans="1:31" x14ac:dyDescent="0.3">
      <c r="A122" t="s">
        <v>143</v>
      </c>
      <c r="B122">
        <v>15</v>
      </c>
      <c r="C122">
        <v>10</v>
      </c>
      <c r="D122">
        <v>3.8</v>
      </c>
      <c r="E122">
        <v>3.3</v>
      </c>
      <c r="F122">
        <v>97354</v>
      </c>
      <c r="G122" t="s">
        <v>223</v>
      </c>
      <c r="H122">
        <v>437</v>
      </c>
      <c r="I122" t="s">
        <v>226</v>
      </c>
      <c r="J122" s="2">
        <v>45883</v>
      </c>
      <c r="K122" t="s">
        <v>223</v>
      </c>
      <c r="L122" t="s">
        <v>224</v>
      </c>
      <c r="M122" t="s">
        <v>227</v>
      </c>
      <c r="N122" s="2">
        <v>45860</v>
      </c>
      <c r="O122" t="s">
        <v>230</v>
      </c>
      <c r="P122" t="s">
        <v>223</v>
      </c>
      <c r="Q122" t="s">
        <v>224</v>
      </c>
      <c r="R122">
        <v>14704</v>
      </c>
      <c r="S122" t="s">
        <v>223</v>
      </c>
      <c r="T122" t="s">
        <v>231</v>
      </c>
      <c r="U122">
        <v>4.2300000000000004</v>
      </c>
      <c r="V122">
        <v>2.4</v>
      </c>
      <c r="W122">
        <v>1050</v>
      </c>
      <c r="X122" s="26" t="b">
        <f t="shared" si="8"/>
        <v>0</v>
      </c>
      <c r="Y122" s="26" t="b">
        <f t="shared" si="9"/>
        <v>0</v>
      </c>
      <c r="Z122" s="26" t="b">
        <f t="shared" si="10"/>
        <v>0</v>
      </c>
      <c r="AA122" s="26" t="b">
        <f t="shared" si="11"/>
        <v>1</v>
      </c>
      <c r="AB122" s="26" t="b">
        <f t="shared" si="12"/>
        <v>0</v>
      </c>
      <c r="AC122" s="26" t="b">
        <f t="shared" si="13"/>
        <v>0</v>
      </c>
      <c r="AD122" s="26" t="b">
        <f t="shared" si="14"/>
        <v>0</v>
      </c>
      <c r="AE122" s="26" t="b">
        <f t="shared" ca="1" si="15"/>
        <v>1</v>
      </c>
    </row>
    <row r="123" spans="1:31" x14ac:dyDescent="0.3">
      <c r="A123" t="s">
        <v>144</v>
      </c>
      <c r="B123">
        <v>30</v>
      </c>
      <c r="C123">
        <v>2</v>
      </c>
      <c r="D123">
        <v>3.2</v>
      </c>
      <c r="E123">
        <v>5.2</v>
      </c>
      <c r="F123">
        <v>38388</v>
      </c>
      <c r="G123" t="s">
        <v>223</v>
      </c>
      <c r="H123">
        <v>622</v>
      </c>
      <c r="I123" t="s">
        <v>226</v>
      </c>
      <c r="J123" s="2">
        <v>45851</v>
      </c>
      <c r="K123" t="s">
        <v>223</v>
      </c>
      <c r="L123" t="s">
        <v>224</v>
      </c>
      <c r="M123" t="s">
        <v>227</v>
      </c>
      <c r="N123" s="2">
        <v>45870</v>
      </c>
      <c r="O123" t="s">
        <v>229</v>
      </c>
      <c r="P123" t="s">
        <v>223</v>
      </c>
      <c r="Q123" t="s">
        <v>224</v>
      </c>
      <c r="R123">
        <v>19401</v>
      </c>
      <c r="S123" t="s">
        <v>224</v>
      </c>
      <c r="T123" t="s">
        <v>231</v>
      </c>
      <c r="U123">
        <v>6.85</v>
      </c>
      <c r="V123">
        <v>2.1</v>
      </c>
      <c r="W123">
        <v>1360</v>
      </c>
      <c r="X123" s="26" t="b">
        <f t="shared" si="8"/>
        <v>1</v>
      </c>
      <c r="Y123" s="26" t="b">
        <f t="shared" si="9"/>
        <v>0</v>
      </c>
      <c r="Z123" s="26" t="b">
        <f t="shared" si="10"/>
        <v>0</v>
      </c>
      <c r="AA123" s="26" t="b">
        <f t="shared" si="11"/>
        <v>1</v>
      </c>
      <c r="AB123" s="26" t="b">
        <f t="shared" si="12"/>
        <v>0</v>
      </c>
      <c r="AC123" s="26" t="b">
        <f t="shared" si="13"/>
        <v>0</v>
      </c>
      <c r="AD123" s="26" t="b">
        <f t="shared" si="14"/>
        <v>0</v>
      </c>
      <c r="AE123" s="26" t="b">
        <f t="shared" ca="1" si="15"/>
        <v>1</v>
      </c>
    </row>
    <row r="124" spans="1:31" x14ac:dyDescent="0.3">
      <c r="A124" t="s">
        <v>145</v>
      </c>
      <c r="B124">
        <v>24</v>
      </c>
      <c r="C124">
        <v>7</v>
      </c>
      <c r="D124">
        <v>1.7</v>
      </c>
      <c r="E124">
        <v>5.9</v>
      </c>
      <c r="F124">
        <v>48905</v>
      </c>
      <c r="G124" t="s">
        <v>224</v>
      </c>
      <c r="H124">
        <v>333</v>
      </c>
      <c r="I124" t="s">
        <v>226</v>
      </c>
      <c r="J124" s="2">
        <v>45876</v>
      </c>
      <c r="K124" t="s">
        <v>224</v>
      </c>
      <c r="L124" t="s">
        <v>223</v>
      </c>
      <c r="M124" t="s">
        <v>228</v>
      </c>
      <c r="N124" s="2">
        <v>45870</v>
      </c>
      <c r="O124" t="s">
        <v>229</v>
      </c>
      <c r="P124" t="s">
        <v>223</v>
      </c>
      <c r="Q124" t="s">
        <v>224</v>
      </c>
      <c r="R124">
        <v>18796</v>
      </c>
      <c r="S124" t="s">
        <v>224</v>
      </c>
      <c r="T124" t="s">
        <v>232</v>
      </c>
      <c r="U124">
        <v>7.6</v>
      </c>
      <c r="V124">
        <v>2.2000000000000002</v>
      </c>
      <c r="W124">
        <v>723</v>
      </c>
      <c r="X124" s="26" t="b">
        <f t="shared" si="8"/>
        <v>0</v>
      </c>
      <c r="Y124" s="26" t="b">
        <f t="shared" si="9"/>
        <v>0</v>
      </c>
      <c r="Z124" s="26" t="b">
        <f t="shared" si="10"/>
        <v>0</v>
      </c>
      <c r="AA124" s="26" t="b">
        <f t="shared" si="11"/>
        <v>1</v>
      </c>
      <c r="AB124" s="26" t="b">
        <f t="shared" si="12"/>
        <v>0</v>
      </c>
      <c r="AC124" s="26" t="b">
        <f t="shared" si="13"/>
        <v>1</v>
      </c>
      <c r="AD124" s="26" t="b">
        <f t="shared" si="14"/>
        <v>1</v>
      </c>
      <c r="AE124" s="26" t="b">
        <f t="shared" ca="1" si="15"/>
        <v>0</v>
      </c>
    </row>
    <row r="125" spans="1:31" x14ac:dyDescent="0.3">
      <c r="A125" t="s">
        <v>146</v>
      </c>
      <c r="B125">
        <v>23</v>
      </c>
      <c r="C125">
        <v>1</v>
      </c>
      <c r="D125">
        <v>3.9</v>
      </c>
      <c r="E125">
        <v>6.7</v>
      </c>
      <c r="F125">
        <v>52444</v>
      </c>
      <c r="G125" t="s">
        <v>224</v>
      </c>
      <c r="H125">
        <v>333</v>
      </c>
      <c r="I125" t="s">
        <v>226</v>
      </c>
      <c r="J125" s="2">
        <v>45874</v>
      </c>
      <c r="K125" t="s">
        <v>224</v>
      </c>
      <c r="L125" t="s">
        <v>223</v>
      </c>
      <c r="M125" t="s">
        <v>228</v>
      </c>
      <c r="N125" s="2">
        <v>45858</v>
      </c>
      <c r="O125" t="s">
        <v>229</v>
      </c>
      <c r="P125" t="s">
        <v>223</v>
      </c>
      <c r="Q125" t="s">
        <v>224</v>
      </c>
      <c r="R125">
        <v>15030</v>
      </c>
      <c r="S125" t="s">
        <v>223</v>
      </c>
      <c r="T125" t="s">
        <v>232</v>
      </c>
      <c r="U125">
        <v>7.85</v>
      </c>
      <c r="V125">
        <v>4.0999999999999996</v>
      </c>
      <c r="W125">
        <v>1324</v>
      </c>
      <c r="X125" s="26" t="b">
        <f t="shared" si="8"/>
        <v>1</v>
      </c>
      <c r="Y125" s="26" t="b">
        <f t="shared" si="9"/>
        <v>0</v>
      </c>
      <c r="Z125" s="26" t="b">
        <f t="shared" si="10"/>
        <v>1</v>
      </c>
      <c r="AA125" s="26" t="b">
        <f t="shared" si="11"/>
        <v>1</v>
      </c>
      <c r="AB125" s="26" t="b">
        <f t="shared" si="12"/>
        <v>0</v>
      </c>
      <c r="AC125" s="26" t="b">
        <f t="shared" si="13"/>
        <v>0</v>
      </c>
      <c r="AD125" s="26" t="b">
        <f t="shared" si="14"/>
        <v>0</v>
      </c>
      <c r="AE125" s="26" t="b">
        <f t="shared" ca="1" si="15"/>
        <v>1</v>
      </c>
    </row>
    <row r="126" spans="1:31" x14ac:dyDescent="0.3">
      <c r="A126" t="s">
        <v>147</v>
      </c>
      <c r="B126">
        <v>11</v>
      </c>
      <c r="C126">
        <v>9</v>
      </c>
      <c r="D126">
        <v>2.4</v>
      </c>
      <c r="E126">
        <v>3.2</v>
      </c>
      <c r="F126">
        <v>90617</v>
      </c>
      <c r="G126" t="s">
        <v>223</v>
      </c>
      <c r="H126">
        <v>631</v>
      </c>
      <c r="I126" t="s">
        <v>226</v>
      </c>
      <c r="J126" s="2">
        <v>45872</v>
      </c>
      <c r="K126" t="s">
        <v>224</v>
      </c>
      <c r="L126" t="s">
        <v>223</v>
      </c>
      <c r="M126" t="s">
        <v>227</v>
      </c>
      <c r="N126" s="2">
        <v>45868</v>
      </c>
      <c r="O126" t="s">
        <v>229</v>
      </c>
      <c r="P126" t="s">
        <v>224</v>
      </c>
      <c r="Q126" t="s">
        <v>223</v>
      </c>
      <c r="R126">
        <v>5348</v>
      </c>
      <c r="S126" t="s">
        <v>223</v>
      </c>
      <c r="T126" t="s">
        <v>232</v>
      </c>
      <c r="U126">
        <v>7.11</v>
      </c>
      <c r="V126">
        <v>4.0999999999999996</v>
      </c>
      <c r="W126">
        <v>1279</v>
      </c>
      <c r="X126" s="26" t="b">
        <f t="shared" si="8"/>
        <v>0</v>
      </c>
      <c r="Y126" s="26" t="b">
        <f t="shared" si="9"/>
        <v>0</v>
      </c>
      <c r="Z126" s="26" t="b">
        <f t="shared" si="10"/>
        <v>0</v>
      </c>
      <c r="AA126" s="26" t="b">
        <f t="shared" si="11"/>
        <v>0</v>
      </c>
      <c r="AB126" s="26" t="b">
        <f t="shared" si="12"/>
        <v>1</v>
      </c>
      <c r="AC126" s="26" t="b">
        <f t="shared" si="13"/>
        <v>0</v>
      </c>
      <c r="AD126" s="26" t="b">
        <f t="shared" si="14"/>
        <v>0</v>
      </c>
      <c r="AE126" s="26" t="b">
        <f t="shared" ca="1" si="15"/>
        <v>0</v>
      </c>
    </row>
    <row r="127" spans="1:31" x14ac:dyDescent="0.3">
      <c r="A127" t="s">
        <v>148</v>
      </c>
      <c r="B127">
        <v>31</v>
      </c>
      <c r="C127">
        <v>6</v>
      </c>
      <c r="D127">
        <v>3</v>
      </c>
      <c r="E127">
        <v>6</v>
      </c>
      <c r="F127">
        <v>55221</v>
      </c>
      <c r="G127" t="s">
        <v>224</v>
      </c>
      <c r="H127">
        <v>684</v>
      </c>
      <c r="I127" t="s">
        <v>226</v>
      </c>
      <c r="J127" s="2">
        <v>45886</v>
      </c>
      <c r="K127" t="s">
        <v>223</v>
      </c>
      <c r="L127" t="s">
        <v>224</v>
      </c>
      <c r="M127" t="s">
        <v>228</v>
      </c>
      <c r="N127" s="2">
        <v>45866</v>
      </c>
      <c r="O127" t="s">
        <v>230</v>
      </c>
      <c r="P127" t="s">
        <v>224</v>
      </c>
      <c r="Q127" t="s">
        <v>224</v>
      </c>
      <c r="R127">
        <v>1081</v>
      </c>
      <c r="S127" t="s">
        <v>223</v>
      </c>
      <c r="T127" t="s">
        <v>231</v>
      </c>
      <c r="U127">
        <v>6.35</v>
      </c>
      <c r="V127">
        <v>3.5</v>
      </c>
      <c r="W127">
        <v>1370</v>
      </c>
      <c r="X127" s="26" t="b">
        <f t="shared" si="8"/>
        <v>0</v>
      </c>
      <c r="Y127" s="26" t="b">
        <f t="shared" si="9"/>
        <v>0</v>
      </c>
      <c r="Z127" s="26" t="b">
        <f t="shared" si="10"/>
        <v>1</v>
      </c>
      <c r="AA127" s="26" t="b">
        <f t="shared" si="11"/>
        <v>0</v>
      </c>
      <c r="AB127" s="26" t="b">
        <f t="shared" si="12"/>
        <v>1</v>
      </c>
      <c r="AC127" s="26" t="b">
        <f t="shared" si="13"/>
        <v>0</v>
      </c>
      <c r="AD127" s="26" t="b">
        <f t="shared" si="14"/>
        <v>0</v>
      </c>
      <c r="AE127" s="26" t="b">
        <f t="shared" ca="1" si="15"/>
        <v>0</v>
      </c>
    </row>
    <row r="128" spans="1:31" x14ac:dyDescent="0.3">
      <c r="A128" t="s">
        <v>149</v>
      </c>
      <c r="B128">
        <v>12</v>
      </c>
      <c r="C128">
        <v>8</v>
      </c>
      <c r="D128">
        <v>2.6</v>
      </c>
      <c r="E128">
        <v>9.6999999999999993</v>
      </c>
      <c r="F128">
        <v>47767</v>
      </c>
      <c r="G128" t="s">
        <v>224</v>
      </c>
      <c r="H128">
        <v>574</v>
      </c>
      <c r="I128" t="s">
        <v>226</v>
      </c>
      <c r="J128" s="2">
        <v>45837</v>
      </c>
      <c r="K128" t="s">
        <v>224</v>
      </c>
      <c r="L128" t="s">
        <v>224</v>
      </c>
      <c r="M128" t="s">
        <v>227</v>
      </c>
      <c r="N128" s="2">
        <v>45870</v>
      </c>
      <c r="O128" t="s">
        <v>230</v>
      </c>
      <c r="P128" t="s">
        <v>223</v>
      </c>
      <c r="Q128" t="s">
        <v>223</v>
      </c>
      <c r="R128">
        <v>4262</v>
      </c>
      <c r="S128" t="s">
        <v>224</v>
      </c>
      <c r="T128" t="s">
        <v>232</v>
      </c>
      <c r="U128">
        <v>1.24</v>
      </c>
      <c r="V128">
        <v>4.3</v>
      </c>
      <c r="W128">
        <v>951</v>
      </c>
      <c r="X128" s="26" t="b">
        <f t="shared" si="8"/>
        <v>0</v>
      </c>
      <c r="Y128" s="26" t="b">
        <f t="shared" si="9"/>
        <v>0</v>
      </c>
      <c r="Z128" s="26" t="b">
        <f t="shared" si="10"/>
        <v>0</v>
      </c>
      <c r="AA128" s="26" t="b">
        <f t="shared" si="11"/>
        <v>0</v>
      </c>
      <c r="AB128" s="26" t="b">
        <f t="shared" si="12"/>
        <v>1</v>
      </c>
      <c r="AC128" s="26" t="b">
        <f t="shared" si="13"/>
        <v>1</v>
      </c>
      <c r="AD128" s="26" t="b">
        <f t="shared" si="14"/>
        <v>0</v>
      </c>
      <c r="AE128" s="26" t="b">
        <f t="shared" ca="1" si="15"/>
        <v>1</v>
      </c>
    </row>
    <row r="129" spans="1:31" x14ac:dyDescent="0.3">
      <c r="A129" t="s">
        <v>150</v>
      </c>
      <c r="B129">
        <v>24</v>
      </c>
      <c r="C129">
        <v>0</v>
      </c>
      <c r="D129">
        <v>5</v>
      </c>
      <c r="E129">
        <v>4.5999999999999996</v>
      </c>
      <c r="F129">
        <v>37290</v>
      </c>
      <c r="G129" t="s">
        <v>224</v>
      </c>
      <c r="H129">
        <v>462</v>
      </c>
      <c r="I129" t="s">
        <v>226</v>
      </c>
      <c r="J129" s="2">
        <v>45885</v>
      </c>
      <c r="K129" t="s">
        <v>224</v>
      </c>
      <c r="L129" t="s">
        <v>224</v>
      </c>
      <c r="M129" t="s">
        <v>227</v>
      </c>
      <c r="N129" s="2">
        <v>45866</v>
      </c>
      <c r="O129" t="s">
        <v>229</v>
      </c>
      <c r="P129" t="s">
        <v>223</v>
      </c>
      <c r="Q129" t="s">
        <v>224</v>
      </c>
      <c r="R129">
        <v>11010</v>
      </c>
      <c r="S129" t="s">
        <v>223</v>
      </c>
      <c r="T129" t="s">
        <v>231</v>
      </c>
      <c r="U129">
        <v>6.55</v>
      </c>
      <c r="V129">
        <v>3.5</v>
      </c>
      <c r="W129">
        <v>501</v>
      </c>
      <c r="X129" s="26" t="b">
        <f t="shared" si="8"/>
        <v>1</v>
      </c>
      <c r="Y129" s="26" t="b">
        <f t="shared" si="9"/>
        <v>1</v>
      </c>
      <c r="Z129" s="26" t="b">
        <f t="shared" si="10"/>
        <v>0</v>
      </c>
      <c r="AA129" s="26" t="b">
        <f t="shared" si="11"/>
        <v>1</v>
      </c>
      <c r="AB129" s="26" t="b">
        <f t="shared" si="12"/>
        <v>0</v>
      </c>
      <c r="AC129" s="26" t="b">
        <f t="shared" si="13"/>
        <v>1</v>
      </c>
      <c r="AD129" s="26" t="b">
        <f t="shared" si="14"/>
        <v>0</v>
      </c>
      <c r="AE129" s="26" t="b">
        <f t="shared" ca="1" si="15"/>
        <v>1</v>
      </c>
    </row>
    <row r="130" spans="1:31" x14ac:dyDescent="0.3">
      <c r="A130" t="s">
        <v>151</v>
      </c>
      <c r="B130">
        <v>16</v>
      </c>
      <c r="C130">
        <v>7</v>
      </c>
      <c r="D130">
        <v>1.3</v>
      </c>
      <c r="E130">
        <v>6.1</v>
      </c>
      <c r="F130">
        <v>88084</v>
      </c>
      <c r="G130" t="s">
        <v>224</v>
      </c>
      <c r="H130">
        <v>309</v>
      </c>
      <c r="I130" t="s">
        <v>225</v>
      </c>
      <c r="J130" s="2">
        <v>45846</v>
      </c>
      <c r="K130" t="s">
        <v>224</v>
      </c>
      <c r="L130" t="s">
        <v>223</v>
      </c>
      <c r="M130" t="s">
        <v>228</v>
      </c>
      <c r="N130" s="2">
        <v>45859</v>
      </c>
      <c r="O130" t="s">
        <v>230</v>
      </c>
      <c r="P130" t="s">
        <v>223</v>
      </c>
      <c r="Q130" t="s">
        <v>223</v>
      </c>
      <c r="R130">
        <v>13552</v>
      </c>
      <c r="S130" t="s">
        <v>223</v>
      </c>
      <c r="T130" t="s">
        <v>232</v>
      </c>
      <c r="U130">
        <v>1.03</v>
      </c>
      <c r="V130">
        <v>1.8</v>
      </c>
      <c r="W130">
        <v>806</v>
      </c>
      <c r="X130" s="26" t="b">
        <f t="shared" si="8"/>
        <v>0</v>
      </c>
      <c r="Y130" s="26" t="b">
        <f t="shared" si="9"/>
        <v>0</v>
      </c>
      <c r="Z130" s="26" t="b">
        <f t="shared" si="10"/>
        <v>1</v>
      </c>
      <c r="AA130" s="26" t="b">
        <f t="shared" si="11"/>
        <v>0</v>
      </c>
      <c r="AB130" s="26" t="b">
        <f t="shared" si="12"/>
        <v>0</v>
      </c>
      <c r="AC130" s="26" t="b">
        <f t="shared" si="13"/>
        <v>0</v>
      </c>
      <c r="AD130" s="26" t="b">
        <f t="shared" si="14"/>
        <v>1</v>
      </c>
      <c r="AE130" s="26" t="b">
        <f t="shared" ca="1" si="15"/>
        <v>1</v>
      </c>
    </row>
    <row r="131" spans="1:31" x14ac:dyDescent="0.3">
      <c r="A131" t="s">
        <v>152</v>
      </c>
      <c r="B131">
        <v>14</v>
      </c>
      <c r="C131">
        <v>6</v>
      </c>
      <c r="D131">
        <v>4.0999999999999996</v>
      </c>
      <c r="E131">
        <v>7.7</v>
      </c>
      <c r="F131">
        <v>37451</v>
      </c>
      <c r="G131" t="s">
        <v>223</v>
      </c>
      <c r="H131">
        <v>370</v>
      </c>
      <c r="I131" t="s">
        <v>225</v>
      </c>
      <c r="J131" s="2">
        <v>45851</v>
      </c>
      <c r="K131" t="s">
        <v>223</v>
      </c>
      <c r="L131" t="s">
        <v>224</v>
      </c>
      <c r="M131" t="s">
        <v>228</v>
      </c>
      <c r="N131" s="2">
        <v>45861</v>
      </c>
      <c r="O131" t="s">
        <v>229</v>
      </c>
      <c r="P131" t="s">
        <v>224</v>
      </c>
      <c r="Q131" t="s">
        <v>224</v>
      </c>
      <c r="R131">
        <v>8118</v>
      </c>
      <c r="S131" t="s">
        <v>223</v>
      </c>
      <c r="T131" t="s">
        <v>232</v>
      </c>
      <c r="U131">
        <v>1.4</v>
      </c>
      <c r="V131">
        <v>0.6</v>
      </c>
      <c r="W131">
        <v>1247</v>
      </c>
      <c r="X131" s="26" t="b">
        <f t="shared" ref="X131:X194" si="16">AND(B131&gt;20,C131&lt;=2)</f>
        <v>0</v>
      </c>
      <c r="Y131" s="26" t="b">
        <f t="shared" ref="Y131:Y194" si="17">AND(D131&gt;4,E131&gt;2)</f>
        <v>1</v>
      </c>
      <c r="Z131" s="26" t="b">
        <f t="shared" ref="Z131:Z194" si="18">AND(F131&gt;50000,OR(G131="No",H131&gt;750))</f>
        <v>0</v>
      </c>
      <c r="AA131" s="26" t="b">
        <f t="shared" ref="AA131:AA194" si="19">AND(OR(O131="Single", P131="Yes"), Q131="No")</f>
        <v>1</v>
      </c>
      <c r="AB131" s="26" t="b">
        <f t="shared" ref="AB131:AB194" si="20">AND(R131&lt;10000,OR(S131="Yes",T131="Pre-approved"))</f>
        <v>1</v>
      </c>
      <c r="AC131" s="26" t="b">
        <f t="shared" ref="AC131:AC194" si="21">AND(OR(U131&gt;5,V131&gt;2),W131&lt;1000)</f>
        <v>0</v>
      </c>
      <c r="AD131" s="26" t="b">
        <f t="shared" ref="AD131:AD194" si="22">OR(E131&lt;1,D131&lt;2)</f>
        <v>0</v>
      </c>
      <c r="AE131" s="26" t="b">
        <f t="shared" ref="AE131:AE194" ca="1" si="23">OR(AND(M131&lt;&gt;"VIP", L131&lt;&gt;"Yes"), N131&lt;TODAY())</f>
        <v>1</v>
      </c>
    </row>
    <row r="132" spans="1:31" x14ac:dyDescent="0.3">
      <c r="A132" t="s">
        <v>153</v>
      </c>
      <c r="B132">
        <v>22</v>
      </c>
      <c r="C132">
        <v>5</v>
      </c>
      <c r="D132">
        <v>4.9000000000000004</v>
      </c>
      <c r="E132">
        <v>3.5</v>
      </c>
      <c r="F132">
        <v>38327</v>
      </c>
      <c r="G132" t="s">
        <v>223</v>
      </c>
      <c r="H132">
        <v>583</v>
      </c>
      <c r="I132" t="s">
        <v>225</v>
      </c>
      <c r="J132" s="2">
        <v>45875</v>
      </c>
      <c r="K132" t="s">
        <v>224</v>
      </c>
      <c r="L132" t="s">
        <v>223</v>
      </c>
      <c r="M132" t="s">
        <v>228</v>
      </c>
      <c r="N132" s="2">
        <v>45861</v>
      </c>
      <c r="O132" t="s">
        <v>229</v>
      </c>
      <c r="P132" t="s">
        <v>224</v>
      </c>
      <c r="Q132" t="s">
        <v>224</v>
      </c>
      <c r="R132">
        <v>2788</v>
      </c>
      <c r="S132" t="s">
        <v>223</v>
      </c>
      <c r="T132" t="s">
        <v>231</v>
      </c>
      <c r="U132">
        <v>3.86</v>
      </c>
      <c r="V132">
        <v>1.2</v>
      </c>
      <c r="W132">
        <v>1153</v>
      </c>
      <c r="X132" s="26" t="b">
        <f t="shared" si="16"/>
        <v>0</v>
      </c>
      <c r="Y132" s="26" t="b">
        <f t="shared" si="17"/>
        <v>1</v>
      </c>
      <c r="Z132" s="26" t="b">
        <f t="shared" si="18"/>
        <v>0</v>
      </c>
      <c r="AA132" s="26" t="b">
        <f t="shared" si="19"/>
        <v>1</v>
      </c>
      <c r="AB132" s="26" t="b">
        <f t="shared" si="20"/>
        <v>1</v>
      </c>
      <c r="AC132" s="26" t="b">
        <f t="shared" si="21"/>
        <v>0</v>
      </c>
      <c r="AD132" s="26" t="b">
        <f t="shared" si="22"/>
        <v>0</v>
      </c>
      <c r="AE132" s="26" t="b">
        <f t="shared" ca="1" si="23"/>
        <v>1</v>
      </c>
    </row>
    <row r="133" spans="1:31" x14ac:dyDescent="0.3">
      <c r="A133" t="s">
        <v>154</v>
      </c>
      <c r="B133">
        <v>29</v>
      </c>
      <c r="C133">
        <v>1</v>
      </c>
      <c r="D133">
        <v>3.1</v>
      </c>
      <c r="E133">
        <v>9.8000000000000007</v>
      </c>
      <c r="F133">
        <v>67329</v>
      </c>
      <c r="G133" t="s">
        <v>224</v>
      </c>
      <c r="H133">
        <v>435</v>
      </c>
      <c r="I133" t="s">
        <v>226</v>
      </c>
      <c r="J133" s="2">
        <v>45835</v>
      </c>
      <c r="K133" t="s">
        <v>224</v>
      </c>
      <c r="L133" t="s">
        <v>224</v>
      </c>
      <c r="M133" t="s">
        <v>227</v>
      </c>
      <c r="N133" s="2">
        <v>45870</v>
      </c>
      <c r="O133" t="s">
        <v>229</v>
      </c>
      <c r="P133" t="s">
        <v>223</v>
      </c>
      <c r="Q133" t="s">
        <v>223</v>
      </c>
      <c r="R133">
        <v>1451</v>
      </c>
      <c r="S133" t="s">
        <v>224</v>
      </c>
      <c r="T133" t="s">
        <v>232</v>
      </c>
      <c r="U133">
        <v>0.4</v>
      </c>
      <c r="V133">
        <v>0.3</v>
      </c>
      <c r="W133">
        <v>1308</v>
      </c>
      <c r="X133" s="26" t="b">
        <f t="shared" si="16"/>
        <v>1</v>
      </c>
      <c r="Y133" s="26" t="b">
        <f t="shared" si="17"/>
        <v>0</v>
      </c>
      <c r="Z133" s="26" t="b">
        <f t="shared" si="18"/>
        <v>1</v>
      </c>
      <c r="AA133" s="26" t="b">
        <f t="shared" si="19"/>
        <v>0</v>
      </c>
      <c r="AB133" s="26" t="b">
        <f t="shared" si="20"/>
        <v>1</v>
      </c>
      <c r="AC133" s="26" t="b">
        <f t="shared" si="21"/>
        <v>0</v>
      </c>
      <c r="AD133" s="26" t="b">
        <f t="shared" si="22"/>
        <v>0</v>
      </c>
      <c r="AE133" s="26" t="b">
        <f t="shared" ca="1" si="23"/>
        <v>1</v>
      </c>
    </row>
    <row r="134" spans="1:31" x14ac:dyDescent="0.3">
      <c r="A134" t="s">
        <v>155</v>
      </c>
      <c r="B134">
        <v>22</v>
      </c>
      <c r="C134">
        <v>8</v>
      </c>
      <c r="D134">
        <v>2.1</v>
      </c>
      <c r="E134">
        <v>7.3</v>
      </c>
      <c r="F134">
        <v>74451</v>
      </c>
      <c r="G134" t="s">
        <v>224</v>
      </c>
      <c r="H134">
        <v>711</v>
      </c>
      <c r="I134" t="s">
        <v>225</v>
      </c>
      <c r="J134" s="2">
        <v>45850</v>
      </c>
      <c r="K134" t="s">
        <v>223</v>
      </c>
      <c r="L134" t="s">
        <v>224</v>
      </c>
      <c r="M134" t="s">
        <v>227</v>
      </c>
      <c r="N134" s="2">
        <v>45864</v>
      </c>
      <c r="O134" t="s">
        <v>229</v>
      </c>
      <c r="P134" t="s">
        <v>223</v>
      </c>
      <c r="Q134" t="s">
        <v>223</v>
      </c>
      <c r="R134">
        <v>18576</v>
      </c>
      <c r="S134" t="s">
        <v>224</v>
      </c>
      <c r="T134" t="s">
        <v>231</v>
      </c>
      <c r="U134">
        <v>5.86</v>
      </c>
      <c r="V134">
        <v>3.8</v>
      </c>
      <c r="W134">
        <v>1165</v>
      </c>
      <c r="X134" s="26" t="b">
        <f t="shared" si="16"/>
        <v>0</v>
      </c>
      <c r="Y134" s="26" t="b">
        <f t="shared" si="17"/>
        <v>0</v>
      </c>
      <c r="Z134" s="26" t="b">
        <f t="shared" si="18"/>
        <v>1</v>
      </c>
      <c r="AA134" s="26" t="b">
        <f t="shared" si="19"/>
        <v>0</v>
      </c>
      <c r="AB134" s="26" t="b">
        <f t="shared" si="20"/>
        <v>0</v>
      </c>
      <c r="AC134" s="26" t="b">
        <f t="shared" si="21"/>
        <v>0</v>
      </c>
      <c r="AD134" s="26" t="b">
        <f t="shared" si="22"/>
        <v>0</v>
      </c>
      <c r="AE134" s="26" t="b">
        <f t="shared" ca="1" si="23"/>
        <v>1</v>
      </c>
    </row>
    <row r="135" spans="1:31" x14ac:dyDescent="0.3">
      <c r="A135" t="s">
        <v>156</v>
      </c>
      <c r="B135">
        <v>31</v>
      </c>
      <c r="C135">
        <v>10</v>
      </c>
      <c r="D135">
        <v>1.3</v>
      </c>
      <c r="E135">
        <v>7.1</v>
      </c>
      <c r="F135">
        <v>51278</v>
      </c>
      <c r="G135" t="s">
        <v>223</v>
      </c>
      <c r="H135">
        <v>550</v>
      </c>
      <c r="I135" t="s">
        <v>225</v>
      </c>
      <c r="J135" s="2">
        <v>45831</v>
      </c>
      <c r="K135" t="s">
        <v>224</v>
      </c>
      <c r="L135" t="s">
        <v>223</v>
      </c>
      <c r="M135" t="s">
        <v>228</v>
      </c>
      <c r="N135" s="2">
        <v>45856</v>
      </c>
      <c r="O135" t="s">
        <v>230</v>
      </c>
      <c r="P135" t="s">
        <v>223</v>
      </c>
      <c r="Q135" t="s">
        <v>223</v>
      </c>
      <c r="R135">
        <v>1415</v>
      </c>
      <c r="S135" t="s">
        <v>223</v>
      </c>
      <c r="T135" t="s">
        <v>232</v>
      </c>
      <c r="U135">
        <v>1.64</v>
      </c>
      <c r="V135">
        <v>4.8</v>
      </c>
      <c r="W135">
        <v>1035</v>
      </c>
      <c r="X135" s="26" t="b">
        <f t="shared" si="16"/>
        <v>0</v>
      </c>
      <c r="Y135" s="26" t="b">
        <f t="shared" si="17"/>
        <v>0</v>
      </c>
      <c r="Z135" s="26" t="b">
        <f t="shared" si="18"/>
        <v>0</v>
      </c>
      <c r="AA135" s="26" t="b">
        <f t="shared" si="19"/>
        <v>0</v>
      </c>
      <c r="AB135" s="26" t="b">
        <f t="shared" si="20"/>
        <v>1</v>
      </c>
      <c r="AC135" s="26" t="b">
        <f t="shared" si="21"/>
        <v>0</v>
      </c>
      <c r="AD135" s="26" t="b">
        <f t="shared" si="22"/>
        <v>1</v>
      </c>
      <c r="AE135" s="26" t="b">
        <f t="shared" ca="1" si="23"/>
        <v>1</v>
      </c>
    </row>
    <row r="136" spans="1:31" x14ac:dyDescent="0.3">
      <c r="A136" t="s">
        <v>157</v>
      </c>
      <c r="B136">
        <v>26</v>
      </c>
      <c r="C136">
        <v>4</v>
      </c>
      <c r="D136">
        <v>1.7</v>
      </c>
      <c r="E136">
        <v>1.7</v>
      </c>
      <c r="F136">
        <v>55227</v>
      </c>
      <c r="G136" t="s">
        <v>223</v>
      </c>
      <c r="H136">
        <v>330</v>
      </c>
      <c r="I136" t="s">
        <v>226</v>
      </c>
      <c r="J136" s="2">
        <v>45839</v>
      </c>
      <c r="K136" t="s">
        <v>224</v>
      </c>
      <c r="L136" t="s">
        <v>224</v>
      </c>
      <c r="M136" t="s">
        <v>227</v>
      </c>
      <c r="N136" s="2">
        <v>45863</v>
      </c>
      <c r="O136" t="s">
        <v>229</v>
      </c>
      <c r="P136" t="s">
        <v>224</v>
      </c>
      <c r="Q136" t="s">
        <v>224</v>
      </c>
      <c r="R136">
        <v>17737</v>
      </c>
      <c r="S136" t="s">
        <v>224</v>
      </c>
      <c r="T136" t="s">
        <v>232</v>
      </c>
      <c r="U136">
        <v>5</v>
      </c>
      <c r="V136">
        <v>2.8</v>
      </c>
      <c r="W136">
        <v>876</v>
      </c>
      <c r="X136" s="26" t="b">
        <f t="shared" si="16"/>
        <v>0</v>
      </c>
      <c r="Y136" s="26" t="b">
        <f t="shared" si="17"/>
        <v>0</v>
      </c>
      <c r="Z136" s="26" t="b">
        <f t="shared" si="18"/>
        <v>0</v>
      </c>
      <c r="AA136" s="26" t="b">
        <f t="shared" si="19"/>
        <v>1</v>
      </c>
      <c r="AB136" s="26" t="b">
        <f t="shared" si="20"/>
        <v>0</v>
      </c>
      <c r="AC136" s="26" t="b">
        <f t="shared" si="21"/>
        <v>1</v>
      </c>
      <c r="AD136" s="26" t="b">
        <f t="shared" si="22"/>
        <v>1</v>
      </c>
      <c r="AE136" s="26" t="b">
        <f t="shared" ca="1" si="23"/>
        <v>1</v>
      </c>
    </row>
    <row r="137" spans="1:31" x14ac:dyDescent="0.3">
      <c r="A137" t="s">
        <v>158</v>
      </c>
      <c r="B137">
        <v>15</v>
      </c>
      <c r="C137">
        <v>4</v>
      </c>
      <c r="D137">
        <v>4.0999999999999996</v>
      </c>
      <c r="E137">
        <v>9</v>
      </c>
      <c r="F137">
        <v>35117</v>
      </c>
      <c r="G137" t="s">
        <v>223</v>
      </c>
      <c r="H137">
        <v>821</v>
      </c>
      <c r="I137" t="s">
        <v>225</v>
      </c>
      <c r="J137" s="2">
        <v>45888</v>
      </c>
      <c r="K137" t="s">
        <v>223</v>
      </c>
      <c r="L137" t="s">
        <v>223</v>
      </c>
      <c r="M137" t="s">
        <v>227</v>
      </c>
      <c r="N137" s="2">
        <v>45870</v>
      </c>
      <c r="O137" t="s">
        <v>230</v>
      </c>
      <c r="P137" t="s">
        <v>224</v>
      </c>
      <c r="Q137" t="s">
        <v>223</v>
      </c>
      <c r="R137">
        <v>6864</v>
      </c>
      <c r="S137" t="s">
        <v>223</v>
      </c>
      <c r="T137" t="s">
        <v>231</v>
      </c>
      <c r="U137">
        <v>2.25</v>
      </c>
      <c r="V137">
        <v>1.2</v>
      </c>
      <c r="W137">
        <v>1437</v>
      </c>
      <c r="X137" s="26" t="b">
        <f t="shared" si="16"/>
        <v>0</v>
      </c>
      <c r="Y137" s="26" t="b">
        <f t="shared" si="17"/>
        <v>1</v>
      </c>
      <c r="Z137" s="26" t="b">
        <f t="shared" si="18"/>
        <v>0</v>
      </c>
      <c r="AA137" s="26" t="b">
        <f t="shared" si="19"/>
        <v>0</v>
      </c>
      <c r="AB137" s="26" t="b">
        <f t="shared" si="20"/>
        <v>1</v>
      </c>
      <c r="AC137" s="26" t="b">
        <f t="shared" si="21"/>
        <v>0</v>
      </c>
      <c r="AD137" s="26" t="b">
        <f t="shared" si="22"/>
        <v>0</v>
      </c>
      <c r="AE137" s="26" t="b">
        <f t="shared" ca="1" si="23"/>
        <v>0</v>
      </c>
    </row>
    <row r="138" spans="1:31" x14ac:dyDescent="0.3">
      <c r="A138" t="s">
        <v>159</v>
      </c>
      <c r="B138">
        <v>20</v>
      </c>
      <c r="C138">
        <v>4</v>
      </c>
      <c r="D138">
        <v>4.3</v>
      </c>
      <c r="E138">
        <v>5.9</v>
      </c>
      <c r="F138">
        <v>35650</v>
      </c>
      <c r="G138" t="s">
        <v>223</v>
      </c>
      <c r="H138">
        <v>483</v>
      </c>
      <c r="I138" t="s">
        <v>225</v>
      </c>
      <c r="J138" s="2">
        <v>45839</v>
      </c>
      <c r="K138" t="s">
        <v>223</v>
      </c>
      <c r="L138" t="s">
        <v>224</v>
      </c>
      <c r="M138" t="s">
        <v>227</v>
      </c>
      <c r="N138" s="2">
        <v>45869</v>
      </c>
      <c r="O138" t="s">
        <v>230</v>
      </c>
      <c r="P138" t="s">
        <v>224</v>
      </c>
      <c r="Q138" t="s">
        <v>224</v>
      </c>
      <c r="R138">
        <v>3830</v>
      </c>
      <c r="S138" t="s">
        <v>224</v>
      </c>
      <c r="T138" t="s">
        <v>232</v>
      </c>
      <c r="U138">
        <v>3.69</v>
      </c>
      <c r="V138">
        <v>1.5</v>
      </c>
      <c r="W138">
        <v>1303</v>
      </c>
      <c r="X138" s="26" t="b">
        <f t="shared" si="16"/>
        <v>0</v>
      </c>
      <c r="Y138" s="26" t="b">
        <f t="shared" si="17"/>
        <v>1</v>
      </c>
      <c r="Z138" s="26" t="b">
        <f t="shared" si="18"/>
        <v>0</v>
      </c>
      <c r="AA138" s="26" t="b">
        <f t="shared" si="19"/>
        <v>0</v>
      </c>
      <c r="AB138" s="26" t="b">
        <f t="shared" si="20"/>
        <v>1</v>
      </c>
      <c r="AC138" s="26" t="b">
        <f t="shared" si="21"/>
        <v>0</v>
      </c>
      <c r="AD138" s="26" t="b">
        <f t="shared" si="22"/>
        <v>0</v>
      </c>
      <c r="AE138" s="26" t="b">
        <f t="shared" ca="1" si="23"/>
        <v>1</v>
      </c>
    </row>
    <row r="139" spans="1:31" x14ac:dyDescent="0.3">
      <c r="A139" t="s">
        <v>160</v>
      </c>
      <c r="B139">
        <v>19</v>
      </c>
      <c r="C139">
        <v>9</v>
      </c>
      <c r="D139">
        <v>2</v>
      </c>
      <c r="E139">
        <v>4</v>
      </c>
      <c r="F139">
        <v>84665</v>
      </c>
      <c r="G139" t="s">
        <v>223</v>
      </c>
      <c r="H139">
        <v>551</v>
      </c>
      <c r="I139" t="s">
        <v>225</v>
      </c>
      <c r="J139" s="2">
        <v>45890</v>
      </c>
      <c r="K139" t="s">
        <v>224</v>
      </c>
      <c r="L139" t="s">
        <v>223</v>
      </c>
      <c r="M139" t="s">
        <v>227</v>
      </c>
      <c r="N139" s="2">
        <v>45866</v>
      </c>
      <c r="O139" t="s">
        <v>229</v>
      </c>
      <c r="P139" t="s">
        <v>224</v>
      </c>
      <c r="Q139" t="s">
        <v>223</v>
      </c>
      <c r="R139">
        <v>13329</v>
      </c>
      <c r="S139" t="s">
        <v>224</v>
      </c>
      <c r="T139" t="s">
        <v>232</v>
      </c>
      <c r="U139">
        <v>2.0499999999999998</v>
      </c>
      <c r="V139">
        <v>4.9000000000000004</v>
      </c>
      <c r="W139">
        <v>929</v>
      </c>
      <c r="X139" s="26" t="b">
        <f t="shared" si="16"/>
        <v>0</v>
      </c>
      <c r="Y139" s="26" t="b">
        <f t="shared" si="17"/>
        <v>0</v>
      </c>
      <c r="Z139" s="26" t="b">
        <f t="shared" si="18"/>
        <v>0</v>
      </c>
      <c r="AA139" s="26" t="b">
        <f t="shared" si="19"/>
        <v>0</v>
      </c>
      <c r="AB139" s="26" t="b">
        <f t="shared" si="20"/>
        <v>0</v>
      </c>
      <c r="AC139" s="26" t="b">
        <f t="shared" si="21"/>
        <v>1</v>
      </c>
      <c r="AD139" s="26" t="b">
        <f t="shared" si="22"/>
        <v>0</v>
      </c>
      <c r="AE139" s="26" t="b">
        <f t="shared" ca="1" si="23"/>
        <v>0</v>
      </c>
    </row>
    <row r="140" spans="1:31" x14ac:dyDescent="0.3">
      <c r="A140" t="s">
        <v>161</v>
      </c>
      <c r="B140">
        <v>25</v>
      </c>
      <c r="C140">
        <v>0</v>
      </c>
      <c r="D140">
        <v>4.9000000000000004</v>
      </c>
      <c r="E140">
        <v>1.9</v>
      </c>
      <c r="F140">
        <v>56677</v>
      </c>
      <c r="G140" t="s">
        <v>223</v>
      </c>
      <c r="H140">
        <v>344</v>
      </c>
      <c r="I140" t="s">
        <v>225</v>
      </c>
      <c r="J140" s="2">
        <v>45833</v>
      </c>
      <c r="K140" t="s">
        <v>224</v>
      </c>
      <c r="L140" t="s">
        <v>224</v>
      </c>
      <c r="M140" t="s">
        <v>228</v>
      </c>
      <c r="N140" s="2">
        <v>45857</v>
      </c>
      <c r="O140" t="s">
        <v>229</v>
      </c>
      <c r="P140" t="s">
        <v>223</v>
      </c>
      <c r="Q140" t="s">
        <v>224</v>
      </c>
      <c r="R140">
        <v>3452</v>
      </c>
      <c r="S140" t="s">
        <v>223</v>
      </c>
      <c r="T140" t="s">
        <v>231</v>
      </c>
      <c r="U140">
        <v>6.62</v>
      </c>
      <c r="V140">
        <v>0.7</v>
      </c>
      <c r="W140">
        <v>798</v>
      </c>
      <c r="X140" s="26" t="b">
        <f t="shared" si="16"/>
        <v>1</v>
      </c>
      <c r="Y140" s="26" t="b">
        <f t="shared" si="17"/>
        <v>0</v>
      </c>
      <c r="Z140" s="26" t="b">
        <f t="shared" si="18"/>
        <v>0</v>
      </c>
      <c r="AA140" s="26" t="b">
        <f t="shared" si="19"/>
        <v>1</v>
      </c>
      <c r="AB140" s="26" t="b">
        <f t="shared" si="20"/>
        <v>1</v>
      </c>
      <c r="AC140" s="26" t="b">
        <f t="shared" si="21"/>
        <v>1</v>
      </c>
      <c r="AD140" s="26" t="b">
        <f t="shared" si="22"/>
        <v>0</v>
      </c>
      <c r="AE140" s="26" t="b">
        <f t="shared" ca="1" si="23"/>
        <v>1</v>
      </c>
    </row>
    <row r="141" spans="1:31" x14ac:dyDescent="0.3">
      <c r="A141" t="s">
        <v>162</v>
      </c>
      <c r="B141">
        <v>18</v>
      </c>
      <c r="C141">
        <v>5</v>
      </c>
      <c r="D141">
        <v>4.7</v>
      </c>
      <c r="E141">
        <v>4.2</v>
      </c>
      <c r="F141">
        <v>62762</v>
      </c>
      <c r="G141" t="s">
        <v>224</v>
      </c>
      <c r="H141">
        <v>763</v>
      </c>
      <c r="I141" t="s">
        <v>226</v>
      </c>
      <c r="J141" s="2">
        <v>45876</v>
      </c>
      <c r="K141" t="s">
        <v>223</v>
      </c>
      <c r="L141" t="s">
        <v>223</v>
      </c>
      <c r="M141" t="s">
        <v>227</v>
      </c>
      <c r="N141" s="2">
        <v>45858</v>
      </c>
      <c r="O141" t="s">
        <v>229</v>
      </c>
      <c r="P141" t="s">
        <v>223</v>
      </c>
      <c r="Q141" t="s">
        <v>223</v>
      </c>
      <c r="R141">
        <v>15731</v>
      </c>
      <c r="S141" t="s">
        <v>224</v>
      </c>
      <c r="T141" t="s">
        <v>231</v>
      </c>
      <c r="U141">
        <v>4.07</v>
      </c>
      <c r="V141">
        <v>2.7</v>
      </c>
      <c r="W141">
        <v>1487</v>
      </c>
      <c r="X141" s="26" t="b">
        <f t="shared" si="16"/>
        <v>0</v>
      </c>
      <c r="Y141" s="26" t="b">
        <f t="shared" si="17"/>
        <v>1</v>
      </c>
      <c r="Z141" s="26" t="b">
        <f t="shared" si="18"/>
        <v>1</v>
      </c>
      <c r="AA141" s="26" t="b">
        <f t="shared" si="19"/>
        <v>0</v>
      </c>
      <c r="AB141" s="26" t="b">
        <f t="shared" si="20"/>
        <v>0</v>
      </c>
      <c r="AC141" s="26" t="b">
        <f t="shared" si="21"/>
        <v>0</v>
      </c>
      <c r="AD141" s="26" t="b">
        <f t="shared" si="22"/>
        <v>0</v>
      </c>
      <c r="AE141" s="26" t="b">
        <f t="shared" ca="1" si="23"/>
        <v>1</v>
      </c>
    </row>
    <row r="142" spans="1:31" x14ac:dyDescent="0.3">
      <c r="A142" t="s">
        <v>163</v>
      </c>
      <c r="B142">
        <v>16</v>
      </c>
      <c r="C142">
        <v>7</v>
      </c>
      <c r="D142">
        <v>2.2000000000000002</v>
      </c>
      <c r="E142">
        <v>3</v>
      </c>
      <c r="F142">
        <v>35717</v>
      </c>
      <c r="G142" t="s">
        <v>223</v>
      </c>
      <c r="H142">
        <v>461</v>
      </c>
      <c r="I142" t="s">
        <v>226</v>
      </c>
      <c r="J142" s="2">
        <v>45838</v>
      </c>
      <c r="K142" t="s">
        <v>223</v>
      </c>
      <c r="L142" t="s">
        <v>223</v>
      </c>
      <c r="M142" t="s">
        <v>228</v>
      </c>
      <c r="N142" s="2">
        <v>45859</v>
      </c>
      <c r="O142" t="s">
        <v>229</v>
      </c>
      <c r="P142" t="s">
        <v>223</v>
      </c>
      <c r="Q142" t="s">
        <v>224</v>
      </c>
      <c r="R142">
        <v>13984</v>
      </c>
      <c r="S142" t="s">
        <v>223</v>
      </c>
      <c r="T142" t="s">
        <v>231</v>
      </c>
      <c r="U142">
        <v>2.6</v>
      </c>
      <c r="V142">
        <v>5</v>
      </c>
      <c r="W142">
        <v>531</v>
      </c>
      <c r="X142" s="26" t="b">
        <f t="shared" si="16"/>
        <v>0</v>
      </c>
      <c r="Y142" s="26" t="b">
        <f t="shared" si="17"/>
        <v>0</v>
      </c>
      <c r="Z142" s="26" t="b">
        <f t="shared" si="18"/>
        <v>0</v>
      </c>
      <c r="AA142" s="26" t="b">
        <f t="shared" si="19"/>
        <v>1</v>
      </c>
      <c r="AB142" s="26" t="b">
        <f t="shared" si="20"/>
        <v>0</v>
      </c>
      <c r="AC142" s="26" t="b">
        <f t="shared" si="21"/>
        <v>1</v>
      </c>
      <c r="AD142" s="26" t="b">
        <f t="shared" si="22"/>
        <v>0</v>
      </c>
      <c r="AE142" s="26" t="b">
        <f t="shared" ca="1" si="23"/>
        <v>1</v>
      </c>
    </row>
    <row r="143" spans="1:31" x14ac:dyDescent="0.3">
      <c r="A143" t="s">
        <v>164</v>
      </c>
      <c r="B143">
        <v>22</v>
      </c>
      <c r="C143">
        <v>7</v>
      </c>
      <c r="D143">
        <v>3.2</v>
      </c>
      <c r="E143">
        <v>5.7</v>
      </c>
      <c r="F143">
        <v>32415</v>
      </c>
      <c r="G143" t="s">
        <v>224</v>
      </c>
      <c r="H143">
        <v>404</v>
      </c>
      <c r="I143" t="s">
        <v>225</v>
      </c>
      <c r="J143" s="2">
        <v>45883</v>
      </c>
      <c r="K143" t="s">
        <v>223</v>
      </c>
      <c r="L143" t="s">
        <v>223</v>
      </c>
      <c r="M143" t="s">
        <v>227</v>
      </c>
      <c r="N143" s="2">
        <v>45859</v>
      </c>
      <c r="O143" t="s">
        <v>229</v>
      </c>
      <c r="P143" t="s">
        <v>224</v>
      </c>
      <c r="Q143" t="s">
        <v>224</v>
      </c>
      <c r="R143">
        <v>3753</v>
      </c>
      <c r="S143" t="s">
        <v>224</v>
      </c>
      <c r="T143" t="s">
        <v>232</v>
      </c>
      <c r="U143">
        <v>0.22</v>
      </c>
      <c r="V143">
        <v>0.3</v>
      </c>
      <c r="W143">
        <v>1424</v>
      </c>
      <c r="X143" s="26" t="b">
        <f t="shared" si="16"/>
        <v>0</v>
      </c>
      <c r="Y143" s="26" t="b">
        <f t="shared" si="17"/>
        <v>0</v>
      </c>
      <c r="Z143" s="26" t="b">
        <f t="shared" si="18"/>
        <v>0</v>
      </c>
      <c r="AA143" s="26" t="b">
        <f t="shared" si="19"/>
        <v>1</v>
      </c>
      <c r="AB143" s="26" t="b">
        <f t="shared" si="20"/>
        <v>1</v>
      </c>
      <c r="AC143" s="26" t="b">
        <f t="shared" si="21"/>
        <v>0</v>
      </c>
      <c r="AD143" s="26" t="b">
        <f t="shared" si="22"/>
        <v>0</v>
      </c>
      <c r="AE143" s="26" t="b">
        <f t="shared" ca="1" si="23"/>
        <v>1</v>
      </c>
    </row>
    <row r="144" spans="1:31" x14ac:dyDescent="0.3">
      <c r="A144" t="s">
        <v>165</v>
      </c>
      <c r="B144">
        <v>30</v>
      </c>
      <c r="C144">
        <v>7</v>
      </c>
      <c r="D144">
        <v>4.2</v>
      </c>
      <c r="E144">
        <v>1.4</v>
      </c>
      <c r="F144">
        <v>63456</v>
      </c>
      <c r="G144" t="s">
        <v>223</v>
      </c>
      <c r="H144">
        <v>343</v>
      </c>
      <c r="I144" t="s">
        <v>226</v>
      </c>
      <c r="J144" s="2">
        <v>45887</v>
      </c>
      <c r="K144" t="s">
        <v>223</v>
      </c>
      <c r="L144" t="s">
        <v>224</v>
      </c>
      <c r="M144" t="s">
        <v>228</v>
      </c>
      <c r="N144" s="2">
        <v>45870</v>
      </c>
      <c r="O144" t="s">
        <v>229</v>
      </c>
      <c r="P144" t="s">
        <v>224</v>
      </c>
      <c r="Q144" t="s">
        <v>224</v>
      </c>
      <c r="R144">
        <v>6662</v>
      </c>
      <c r="S144" t="s">
        <v>224</v>
      </c>
      <c r="T144" t="s">
        <v>232</v>
      </c>
      <c r="U144">
        <v>9.08</v>
      </c>
      <c r="V144">
        <v>1.4</v>
      </c>
      <c r="W144">
        <v>956</v>
      </c>
      <c r="X144" s="26" t="b">
        <f t="shared" si="16"/>
        <v>0</v>
      </c>
      <c r="Y144" s="26" t="b">
        <f t="shared" si="17"/>
        <v>0</v>
      </c>
      <c r="Z144" s="26" t="b">
        <f t="shared" si="18"/>
        <v>0</v>
      </c>
      <c r="AA144" s="26" t="b">
        <f t="shared" si="19"/>
        <v>1</v>
      </c>
      <c r="AB144" s="26" t="b">
        <f t="shared" si="20"/>
        <v>1</v>
      </c>
      <c r="AC144" s="26" t="b">
        <f t="shared" si="21"/>
        <v>1</v>
      </c>
      <c r="AD144" s="26" t="b">
        <f t="shared" si="22"/>
        <v>0</v>
      </c>
      <c r="AE144" s="26" t="b">
        <f t="shared" ca="1" si="23"/>
        <v>0</v>
      </c>
    </row>
    <row r="145" spans="1:31" x14ac:dyDescent="0.3">
      <c r="A145" t="s">
        <v>166</v>
      </c>
      <c r="B145">
        <v>14</v>
      </c>
      <c r="C145">
        <v>0</v>
      </c>
      <c r="D145">
        <v>3.5</v>
      </c>
      <c r="E145">
        <v>6.4</v>
      </c>
      <c r="F145">
        <v>58680</v>
      </c>
      <c r="G145" t="s">
        <v>224</v>
      </c>
      <c r="H145">
        <v>721</v>
      </c>
      <c r="I145" t="s">
        <v>226</v>
      </c>
      <c r="J145" s="2">
        <v>45887</v>
      </c>
      <c r="K145" t="s">
        <v>223</v>
      </c>
      <c r="L145" t="s">
        <v>224</v>
      </c>
      <c r="M145" t="s">
        <v>228</v>
      </c>
      <c r="N145" s="2">
        <v>45859</v>
      </c>
      <c r="O145" t="s">
        <v>230</v>
      </c>
      <c r="P145" t="s">
        <v>223</v>
      </c>
      <c r="Q145" t="s">
        <v>223</v>
      </c>
      <c r="R145">
        <v>18814</v>
      </c>
      <c r="S145" t="s">
        <v>223</v>
      </c>
      <c r="T145" t="s">
        <v>231</v>
      </c>
      <c r="U145">
        <v>7.82</v>
      </c>
      <c r="V145">
        <v>1.8</v>
      </c>
      <c r="W145">
        <v>1057</v>
      </c>
      <c r="X145" s="26" t="b">
        <f t="shared" si="16"/>
        <v>0</v>
      </c>
      <c r="Y145" s="26" t="b">
        <f t="shared" si="17"/>
        <v>0</v>
      </c>
      <c r="Z145" s="26" t="b">
        <f t="shared" si="18"/>
        <v>1</v>
      </c>
      <c r="AA145" s="26" t="b">
        <f t="shared" si="19"/>
        <v>0</v>
      </c>
      <c r="AB145" s="26" t="b">
        <f t="shared" si="20"/>
        <v>0</v>
      </c>
      <c r="AC145" s="26" t="b">
        <f t="shared" si="21"/>
        <v>0</v>
      </c>
      <c r="AD145" s="26" t="b">
        <f t="shared" si="22"/>
        <v>0</v>
      </c>
      <c r="AE145" s="26" t="b">
        <f t="shared" ca="1" si="23"/>
        <v>1</v>
      </c>
    </row>
    <row r="146" spans="1:31" x14ac:dyDescent="0.3">
      <c r="A146" t="s">
        <v>167</v>
      </c>
      <c r="B146">
        <v>25</v>
      </c>
      <c r="C146">
        <v>5</v>
      </c>
      <c r="D146">
        <v>4.7</v>
      </c>
      <c r="E146">
        <v>5.3</v>
      </c>
      <c r="F146">
        <v>70905</v>
      </c>
      <c r="G146" t="s">
        <v>224</v>
      </c>
      <c r="H146">
        <v>484</v>
      </c>
      <c r="I146" t="s">
        <v>225</v>
      </c>
      <c r="J146" s="2">
        <v>45870</v>
      </c>
      <c r="K146" t="s">
        <v>223</v>
      </c>
      <c r="L146" t="s">
        <v>223</v>
      </c>
      <c r="M146" t="s">
        <v>228</v>
      </c>
      <c r="N146" s="2">
        <v>45856</v>
      </c>
      <c r="O146" t="s">
        <v>230</v>
      </c>
      <c r="P146" t="s">
        <v>224</v>
      </c>
      <c r="Q146" t="s">
        <v>223</v>
      </c>
      <c r="R146">
        <v>6230</v>
      </c>
      <c r="S146" t="s">
        <v>223</v>
      </c>
      <c r="T146" t="s">
        <v>232</v>
      </c>
      <c r="U146">
        <v>6.57</v>
      </c>
      <c r="V146">
        <v>1.3</v>
      </c>
      <c r="W146">
        <v>1335</v>
      </c>
      <c r="X146" s="26" t="b">
        <f t="shared" si="16"/>
        <v>0</v>
      </c>
      <c r="Y146" s="26" t="b">
        <f t="shared" si="17"/>
        <v>1</v>
      </c>
      <c r="Z146" s="26" t="b">
        <f t="shared" si="18"/>
        <v>1</v>
      </c>
      <c r="AA146" s="26" t="b">
        <f t="shared" si="19"/>
        <v>0</v>
      </c>
      <c r="AB146" s="26" t="b">
        <f t="shared" si="20"/>
        <v>1</v>
      </c>
      <c r="AC146" s="26" t="b">
        <f t="shared" si="21"/>
        <v>0</v>
      </c>
      <c r="AD146" s="26" t="b">
        <f t="shared" si="22"/>
        <v>0</v>
      </c>
      <c r="AE146" s="26" t="b">
        <f t="shared" ca="1" si="23"/>
        <v>1</v>
      </c>
    </row>
    <row r="147" spans="1:31" x14ac:dyDescent="0.3">
      <c r="A147" t="s">
        <v>168</v>
      </c>
      <c r="B147">
        <v>11</v>
      </c>
      <c r="C147">
        <v>3</v>
      </c>
      <c r="D147">
        <v>3.3</v>
      </c>
      <c r="E147">
        <v>9.8000000000000007</v>
      </c>
      <c r="F147">
        <v>70911</v>
      </c>
      <c r="G147" t="s">
        <v>224</v>
      </c>
      <c r="H147">
        <v>477</v>
      </c>
      <c r="I147" t="s">
        <v>225</v>
      </c>
      <c r="J147" s="2">
        <v>45875</v>
      </c>
      <c r="K147" t="s">
        <v>224</v>
      </c>
      <c r="L147" t="s">
        <v>224</v>
      </c>
      <c r="M147" t="s">
        <v>227</v>
      </c>
      <c r="N147" s="2">
        <v>45866</v>
      </c>
      <c r="O147" t="s">
        <v>229</v>
      </c>
      <c r="P147" t="s">
        <v>223</v>
      </c>
      <c r="Q147" t="s">
        <v>224</v>
      </c>
      <c r="R147">
        <v>18764</v>
      </c>
      <c r="S147" t="s">
        <v>224</v>
      </c>
      <c r="T147" t="s">
        <v>232</v>
      </c>
      <c r="U147">
        <v>4.9000000000000004</v>
      </c>
      <c r="V147">
        <v>0.5</v>
      </c>
      <c r="W147">
        <v>738</v>
      </c>
      <c r="X147" s="26" t="b">
        <f t="shared" si="16"/>
        <v>0</v>
      </c>
      <c r="Y147" s="26" t="b">
        <f t="shared" si="17"/>
        <v>0</v>
      </c>
      <c r="Z147" s="26" t="b">
        <f t="shared" si="18"/>
        <v>1</v>
      </c>
      <c r="AA147" s="26" t="b">
        <f t="shared" si="19"/>
        <v>1</v>
      </c>
      <c r="AB147" s="26" t="b">
        <f t="shared" si="20"/>
        <v>0</v>
      </c>
      <c r="AC147" s="26" t="b">
        <f t="shared" si="21"/>
        <v>0</v>
      </c>
      <c r="AD147" s="26" t="b">
        <f t="shared" si="22"/>
        <v>0</v>
      </c>
      <c r="AE147" s="26" t="b">
        <f t="shared" ca="1" si="23"/>
        <v>1</v>
      </c>
    </row>
    <row r="148" spans="1:31" x14ac:dyDescent="0.3">
      <c r="A148" t="s">
        <v>169</v>
      </c>
      <c r="B148">
        <v>29</v>
      </c>
      <c r="C148">
        <v>3</v>
      </c>
      <c r="D148">
        <v>1.1000000000000001</v>
      </c>
      <c r="E148">
        <v>5</v>
      </c>
      <c r="F148">
        <v>63481</v>
      </c>
      <c r="G148" t="s">
        <v>223</v>
      </c>
      <c r="H148">
        <v>433</v>
      </c>
      <c r="I148" t="s">
        <v>226</v>
      </c>
      <c r="J148" s="2">
        <v>45845</v>
      </c>
      <c r="K148" t="s">
        <v>223</v>
      </c>
      <c r="L148" t="s">
        <v>224</v>
      </c>
      <c r="M148" t="s">
        <v>227</v>
      </c>
      <c r="N148" s="2">
        <v>45855</v>
      </c>
      <c r="O148" t="s">
        <v>229</v>
      </c>
      <c r="P148" t="s">
        <v>223</v>
      </c>
      <c r="Q148" t="s">
        <v>223</v>
      </c>
      <c r="R148">
        <v>18245</v>
      </c>
      <c r="S148" t="s">
        <v>224</v>
      </c>
      <c r="T148" t="s">
        <v>232</v>
      </c>
      <c r="U148">
        <v>3.74</v>
      </c>
      <c r="V148">
        <v>4.7</v>
      </c>
      <c r="W148">
        <v>905</v>
      </c>
      <c r="X148" s="26" t="b">
        <f t="shared" si="16"/>
        <v>0</v>
      </c>
      <c r="Y148" s="26" t="b">
        <f t="shared" si="17"/>
        <v>0</v>
      </c>
      <c r="Z148" s="26" t="b">
        <f t="shared" si="18"/>
        <v>0</v>
      </c>
      <c r="AA148" s="26" t="b">
        <f t="shared" si="19"/>
        <v>0</v>
      </c>
      <c r="AB148" s="26" t="b">
        <f t="shared" si="20"/>
        <v>0</v>
      </c>
      <c r="AC148" s="26" t="b">
        <f t="shared" si="21"/>
        <v>1</v>
      </c>
      <c r="AD148" s="26" t="b">
        <f t="shared" si="22"/>
        <v>1</v>
      </c>
      <c r="AE148" s="26" t="b">
        <f t="shared" ca="1" si="23"/>
        <v>1</v>
      </c>
    </row>
    <row r="149" spans="1:31" x14ac:dyDescent="0.3">
      <c r="A149" t="s">
        <v>170</v>
      </c>
      <c r="B149">
        <v>28</v>
      </c>
      <c r="C149">
        <v>1</v>
      </c>
      <c r="D149">
        <v>2.2999999999999998</v>
      </c>
      <c r="E149">
        <v>3.6</v>
      </c>
      <c r="F149">
        <v>40644</v>
      </c>
      <c r="G149" t="s">
        <v>224</v>
      </c>
      <c r="H149">
        <v>798</v>
      </c>
      <c r="I149" t="s">
        <v>226</v>
      </c>
      <c r="J149" s="2">
        <v>45879</v>
      </c>
      <c r="K149" t="s">
        <v>224</v>
      </c>
      <c r="L149" t="s">
        <v>223</v>
      </c>
      <c r="M149" t="s">
        <v>227</v>
      </c>
      <c r="N149" s="2">
        <v>45867</v>
      </c>
      <c r="O149" t="s">
        <v>230</v>
      </c>
      <c r="P149" t="s">
        <v>224</v>
      </c>
      <c r="Q149" t="s">
        <v>223</v>
      </c>
      <c r="R149">
        <v>6823</v>
      </c>
      <c r="S149" t="s">
        <v>223</v>
      </c>
      <c r="T149" t="s">
        <v>231</v>
      </c>
      <c r="U149">
        <v>8.51</v>
      </c>
      <c r="V149">
        <v>3.9</v>
      </c>
      <c r="W149">
        <v>1081</v>
      </c>
      <c r="X149" s="26" t="b">
        <f t="shared" si="16"/>
        <v>1</v>
      </c>
      <c r="Y149" s="26" t="b">
        <f t="shared" si="17"/>
        <v>0</v>
      </c>
      <c r="Z149" s="26" t="b">
        <f t="shared" si="18"/>
        <v>0</v>
      </c>
      <c r="AA149" s="26" t="b">
        <f t="shared" si="19"/>
        <v>0</v>
      </c>
      <c r="AB149" s="26" t="b">
        <f t="shared" si="20"/>
        <v>1</v>
      </c>
      <c r="AC149" s="26" t="b">
        <f t="shared" si="21"/>
        <v>0</v>
      </c>
      <c r="AD149" s="26" t="b">
        <f t="shared" si="22"/>
        <v>0</v>
      </c>
      <c r="AE149" s="26" t="b">
        <f t="shared" ca="1" si="23"/>
        <v>0</v>
      </c>
    </row>
    <row r="150" spans="1:31" x14ac:dyDescent="0.3">
      <c r="A150" t="s">
        <v>171</v>
      </c>
      <c r="B150">
        <v>11</v>
      </c>
      <c r="C150">
        <v>2</v>
      </c>
      <c r="D150">
        <v>3.4</v>
      </c>
      <c r="E150">
        <v>9.1999999999999993</v>
      </c>
      <c r="F150">
        <v>48953</v>
      </c>
      <c r="G150" t="s">
        <v>223</v>
      </c>
      <c r="H150">
        <v>808</v>
      </c>
      <c r="I150" t="s">
        <v>225</v>
      </c>
      <c r="J150" s="2">
        <v>45869</v>
      </c>
      <c r="K150" t="s">
        <v>223</v>
      </c>
      <c r="L150" t="s">
        <v>223</v>
      </c>
      <c r="M150" t="s">
        <v>228</v>
      </c>
      <c r="N150" s="2">
        <v>45865</v>
      </c>
      <c r="O150" t="s">
        <v>229</v>
      </c>
      <c r="P150" t="s">
        <v>223</v>
      </c>
      <c r="Q150" t="s">
        <v>224</v>
      </c>
      <c r="R150">
        <v>15635</v>
      </c>
      <c r="S150" t="s">
        <v>223</v>
      </c>
      <c r="T150" t="s">
        <v>231</v>
      </c>
      <c r="U150">
        <v>2.1</v>
      </c>
      <c r="V150">
        <v>3.5</v>
      </c>
      <c r="W150">
        <v>858</v>
      </c>
      <c r="X150" s="26" t="b">
        <f t="shared" si="16"/>
        <v>0</v>
      </c>
      <c r="Y150" s="26" t="b">
        <f t="shared" si="17"/>
        <v>0</v>
      </c>
      <c r="Z150" s="26" t="b">
        <f t="shared" si="18"/>
        <v>0</v>
      </c>
      <c r="AA150" s="26" t="b">
        <f t="shared" si="19"/>
        <v>1</v>
      </c>
      <c r="AB150" s="26" t="b">
        <f t="shared" si="20"/>
        <v>0</v>
      </c>
      <c r="AC150" s="26" t="b">
        <f t="shared" si="21"/>
        <v>1</v>
      </c>
      <c r="AD150" s="26" t="b">
        <f t="shared" si="22"/>
        <v>0</v>
      </c>
      <c r="AE150" s="26" t="b">
        <f t="shared" ca="1" si="23"/>
        <v>0</v>
      </c>
    </row>
    <row r="151" spans="1:31" x14ac:dyDescent="0.3">
      <c r="A151" t="s">
        <v>172</v>
      </c>
      <c r="B151">
        <v>18</v>
      </c>
      <c r="C151">
        <v>1</v>
      </c>
      <c r="D151">
        <v>3.9</v>
      </c>
      <c r="E151">
        <v>1</v>
      </c>
      <c r="F151">
        <v>77438</v>
      </c>
      <c r="G151" t="s">
        <v>224</v>
      </c>
      <c r="H151">
        <v>470</v>
      </c>
      <c r="I151" t="s">
        <v>226</v>
      </c>
      <c r="J151" s="2">
        <v>45859</v>
      </c>
      <c r="K151" t="s">
        <v>224</v>
      </c>
      <c r="L151" t="s">
        <v>224</v>
      </c>
      <c r="M151" t="s">
        <v>228</v>
      </c>
      <c r="N151" s="2">
        <v>45858</v>
      </c>
      <c r="O151" t="s">
        <v>230</v>
      </c>
      <c r="P151" t="s">
        <v>223</v>
      </c>
      <c r="Q151" t="s">
        <v>223</v>
      </c>
      <c r="R151">
        <v>15787</v>
      </c>
      <c r="S151" t="s">
        <v>223</v>
      </c>
      <c r="T151" t="s">
        <v>232</v>
      </c>
      <c r="U151">
        <v>2.95</v>
      </c>
      <c r="V151">
        <v>1.6</v>
      </c>
      <c r="W151">
        <v>1474</v>
      </c>
      <c r="X151" s="26" t="b">
        <f t="shared" si="16"/>
        <v>0</v>
      </c>
      <c r="Y151" s="26" t="b">
        <f t="shared" si="17"/>
        <v>0</v>
      </c>
      <c r="Z151" s="26" t="b">
        <f t="shared" si="18"/>
        <v>1</v>
      </c>
      <c r="AA151" s="26" t="b">
        <f t="shared" si="19"/>
        <v>0</v>
      </c>
      <c r="AB151" s="26" t="b">
        <f t="shared" si="20"/>
        <v>0</v>
      </c>
      <c r="AC151" s="26" t="b">
        <f t="shared" si="21"/>
        <v>0</v>
      </c>
      <c r="AD151" s="26" t="b">
        <f t="shared" si="22"/>
        <v>0</v>
      </c>
      <c r="AE151" s="26" t="b">
        <f t="shared" ca="1" si="23"/>
        <v>1</v>
      </c>
    </row>
    <row r="152" spans="1:31" x14ac:dyDescent="0.3">
      <c r="A152" t="s">
        <v>173</v>
      </c>
      <c r="B152">
        <v>13</v>
      </c>
      <c r="C152">
        <v>1</v>
      </c>
      <c r="D152">
        <v>2.4</v>
      </c>
      <c r="E152">
        <v>8.9</v>
      </c>
      <c r="F152">
        <v>41090</v>
      </c>
      <c r="G152" t="s">
        <v>223</v>
      </c>
      <c r="H152">
        <v>395</v>
      </c>
      <c r="I152" t="s">
        <v>226</v>
      </c>
      <c r="J152" s="2">
        <v>45852</v>
      </c>
      <c r="K152" t="s">
        <v>224</v>
      </c>
      <c r="L152" t="s">
        <v>223</v>
      </c>
      <c r="M152" t="s">
        <v>228</v>
      </c>
      <c r="N152" s="2">
        <v>45860</v>
      </c>
      <c r="O152" t="s">
        <v>230</v>
      </c>
      <c r="P152" t="s">
        <v>223</v>
      </c>
      <c r="Q152" t="s">
        <v>223</v>
      </c>
      <c r="R152">
        <v>4318</v>
      </c>
      <c r="S152" t="s">
        <v>224</v>
      </c>
      <c r="T152" t="s">
        <v>232</v>
      </c>
      <c r="U152">
        <v>9.74</v>
      </c>
      <c r="V152">
        <v>2</v>
      </c>
      <c r="W152">
        <v>1067</v>
      </c>
      <c r="X152" s="26" t="b">
        <f t="shared" si="16"/>
        <v>0</v>
      </c>
      <c r="Y152" s="26" t="b">
        <f t="shared" si="17"/>
        <v>0</v>
      </c>
      <c r="Z152" s="26" t="b">
        <f t="shared" si="18"/>
        <v>0</v>
      </c>
      <c r="AA152" s="26" t="b">
        <f t="shared" si="19"/>
        <v>0</v>
      </c>
      <c r="AB152" s="26" t="b">
        <f t="shared" si="20"/>
        <v>1</v>
      </c>
      <c r="AC152" s="26" t="b">
        <f t="shared" si="21"/>
        <v>0</v>
      </c>
      <c r="AD152" s="26" t="b">
        <f t="shared" si="22"/>
        <v>0</v>
      </c>
      <c r="AE152" s="26" t="b">
        <f t="shared" ca="1" si="23"/>
        <v>1</v>
      </c>
    </row>
    <row r="153" spans="1:31" x14ac:dyDescent="0.3">
      <c r="A153" t="s">
        <v>174</v>
      </c>
      <c r="B153">
        <v>27</v>
      </c>
      <c r="C153">
        <v>4</v>
      </c>
      <c r="D153">
        <v>3.6</v>
      </c>
      <c r="E153">
        <v>3.3</v>
      </c>
      <c r="F153">
        <v>32571</v>
      </c>
      <c r="G153" t="s">
        <v>223</v>
      </c>
      <c r="H153">
        <v>702</v>
      </c>
      <c r="I153" t="s">
        <v>226</v>
      </c>
      <c r="J153" s="2">
        <v>45881</v>
      </c>
      <c r="K153" t="s">
        <v>223</v>
      </c>
      <c r="L153" t="s">
        <v>224</v>
      </c>
      <c r="M153" t="s">
        <v>227</v>
      </c>
      <c r="N153" s="2">
        <v>45868</v>
      </c>
      <c r="O153" t="s">
        <v>229</v>
      </c>
      <c r="P153" t="s">
        <v>224</v>
      </c>
      <c r="Q153" t="s">
        <v>224</v>
      </c>
      <c r="R153">
        <v>7542</v>
      </c>
      <c r="S153" t="s">
        <v>223</v>
      </c>
      <c r="T153" t="s">
        <v>232</v>
      </c>
      <c r="U153">
        <v>2.0699999999999998</v>
      </c>
      <c r="V153">
        <v>3.2</v>
      </c>
      <c r="W153">
        <v>1500</v>
      </c>
      <c r="X153" s="26" t="b">
        <f t="shared" si="16"/>
        <v>0</v>
      </c>
      <c r="Y153" s="26" t="b">
        <f t="shared" si="17"/>
        <v>0</v>
      </c>
      <c r="Z153" s="26" t="b">
        <f t="shared" si="18"/>
        <v>0</v>
      </c>
      <c r="AA153" s="26" t="b">
        <f t="shared" si="19"/>
        <v>1</v>
      </c>
      <c r="AB153" s="26" t="b">
        <f t="shared" si="20"/>
        <v>1</v>
      </c>
      <c r="AC153" s="26" t="b">
        <f t="shared" si="21"/>
        <v>0</v>
      </c>
      <c r="AD153" s="26" t="b">
        <f t="shared" si="22"/>
        <v>0</v>
      </c>
      <c r="AE153" s="26" t="b">
        <f t="shared" ca="1" si="23"/>
        <v>1</v>
      </c>
    </row>
    <row r="154" spans="1:31" x14ac:dyDescent="0.3">
      <c r="A154" t="s">
        <v>175</v>
      </c>
      <c r="B154">
        <v>12</v>
      </c>
      <c r="C154">
        <v>7</v>
      </c>
      <c r="D154">
        <v>4.4000000000000004</v>
      </c>
      <c r="E154">
        <v>3.4</v>
      </c>
      <c r="F154">
        <v>72096</v>
      </c>
      <c r="G154" t="s">
        <v>224</v>
      </c>
      <c r="H154">
        <v>800</v>
      </c>
      <c r="I154" t="s">
        <v>226</v>
      </c>
      <c r="J154" s="2">
        <v>45885</v>
      </c>
      <c r="K154" t="s">
        <v>224</v>
      </c>
      <c r="L154" t="s">
        <v>223</v>
      </c>
      <c r="M154" t="s">
        <v>228</v>
      </c>
      <c r="N154" s="2">
        <v>45867</v>
      </c>
      <c r="O154" t="s">
        <v>230</v>
      </c>
      <c r="P154" t="s">
        <v>223</v>
      </c>
      <c r="Q154" t="s">
        <v>224</v>
      </c>
      <c r="R154">
        <v>2462</v>
      </c>
      <c r="S154" t="s">
        <v>224</v>
      </c>
      <c r="T154" t="s">
        <v>231</v>
      </c>
      <c r="U154">
        <v>4.6500000000000004</v>
      </c>
      <c r="V154">
        <v>1.1000000000000001</v>
      </c>
      <c r="W154">
        <v>775</v>
      </c>
      <c r="X154" s="26" t="b">
        <f t="shared" si="16"/>
        <v>0</v>
      </c>
      <c r="Y154" s="26" t="b">
        <f t="shared" si="17"/>
        <v>1</v>
      </c>
      <c r="Z154" s="26" t="b">
        <f t="shared" si="18"/>
        <v>1</v>
      </c>
      <c r="AA154" s="26" t="b">
        <f t="shared" si="19"/>
        <v>1</v>
      </c>
      <c r="AB154" s="26" t="b">
        <f t="shared" si="20"/>
        <v>0</v>
      </c>
      <c r="AC154" s="26" t="b">
        <f t="shared" si="21"/>
        <v>0</v>
      </c>
      <c r="AD154" s="26" t="b">
        <f t="shared" si="22"/>
        <v>0</v>
      </c>
      <c r="AE154" s="26" t="b">
        <f t="shared" ca="1" si="23"/>
        <v>0</v>
      </c>
    </row>
    <row r="155" spans="1:31" x14ac:dyDescent="0.3">
      <c r="A155" t="s">
        <v>176</v>
      </c>
      <c r="B155">
        <v>28</v>
      </c>
      <c r="C155">
        <v>0</v>
      </c>
      <c r="D155">
        <v>1.6</v>
      </c>
      <c r="E155">
        <v>7.1</v>
      </c>
      <c r="F155">
        <v>32675</v>
      </c>
      <c r="G155" t="s">
        <v>223</v>
      </c>
      <c r="H155">
        <v>652</v>
      </c>
      <c r="I155" t="s">
        <v>226</v>
      </c>
      <c r="J155" s="2">
        <v>45842</v>
      </c>
      <c r="K155" t="s">
        <v>223</v>
      </c>
      <c r="L155" t="s">
        <v>223</v>
      </c>
      <c r="M155" t="s">
        <v>228</v>
      </c>
      <c r="N155" s="2">
        <v>45868</v>
      </c>
      <c r="O155" t="s">
        <v>230</v>
      </c>
      <c r="P155" t="s">
        <v>223</v>
      </c>
      <c r="Q155" t="s">
        <v>224</v>
      </c>
      <c r="R155">
        <v>10792</v>
      </c>
      <c r="S155" t="s">
        <v>223</v>
      </c>
      <c r="T155" t="s">
        <v>231</v>
      </c>
      <c r="U155">
        <v>9.0299999999999994</v>
      </c>
      <c r="V155">
        <v>3.6</v>
      </c>
      <c r="W155">
        <v>1014</v>
      </c>
      <c r="X155" s="26" t="b">
        <f t="shared" si="16"/>
        <v>1</v>
      </c>
      <c r="Y155" s="26" t="b">
        <f t="shared" si="17"/>
        <v>0</v>
      </c>
      <c r="Z155" s="26" t="b">
        <f t="shared" si="18"/>
        <v>0</v>
      </c>
      <c r="AA155" s="26" t="b">
        <f t="shared" si="19"/>
        <v>1</v>
      </c>
      <c r="AB155" s="26" t="b">
        <f t="shared" si="20"/>
        <v>0</v>
      </c>
      <c r="AC155" s="26" t="b">
        <f t="shared" si="21"/>
        <v>0</v>
      </c>
      <c r="AD155" s="26" t="b">
        <f t="shared" si="22"/>
        <v>1</v>
      </c>
      <c r="AE155" s="26" t="b">
        <f t="shared" ca="1" si="23"/>
        <v>0</v>
      </c>
    </row>
    <row r="156" spans="1:31" x14ac:dyDescent="0.3">
      <c r="A156" t="s">
        <v>177</v>
      </c>
      <c r="B156">
        <v>28</v>
      </c>
      <c r="C156">
        <v>8</v>
      </c>
      <c r="D156">
        <v>4.2</v>
      </c>
      <c r="E156">
        <v>6.9</v>
      </c>
      <c r="F156">
        <v>39326</v>
      </c>
      <c r="G156" t="s">
        <v>223</v>
      </c>
      <c r="H156">
        <v>759</v>
      </c>
      <c r="I156" t="s">
        <v>225</v>
      </c>
      <c r="J156" s="2">
        <v>45830</v>
      </c>
      <c r="K156" t="s">
        <v>223</v>
      </c>
      <c r="L156" t="s">
        <v>223</v>
      </c>
      <c r="M156" t="s">
        <v>227</v>
      </c>
      <c r="N156" s="2">
        <v>45859</v>
      </c>
      <c r="O156" t="s">
        <v>229</v>
      </c>
      <c r="P156" t="s">
        <v>224</v>
      </c>
      <c r="Q156" t="s">
        <v>223</v>
      </c>
      <c r="R156">
        <v>15266</v>
      </c>
      <c r="S156" t="s">
        <v>223</v>
      </c>
      <c r="T156" t="s">
        <v>232</v>
      </c>
      <c r="U156">
        <v>8.34</v>
      </c>
      <c r="V156">
        <v>1.3</v>
      </c>
      <c r="W156">
        <v>1432</v>
      </c>
      <c r="X156" s="26" t="b">
        <f t="shared" si="16"/>
        <v>0</v>
      </c>
      <c r="Y156" s="26" t="b">
        <f t="shared" si="17"/>
        <v>1</v>
      </c>
      <c r="Z156" s="26" t="b">
        <f t="shared" si="18"/>
        <v>0</v>
      </c>
      <c r="AA156" s="26" t="b">
        <f t="shared" si="19"/>
        <v>0</v>
      </c>
      <c r="AB156" s="26" t="b">
        <f t="shared" si="20"/>
        <v>0</v>
      </c>
      <c r="AC156" s="26" t="b">
        <f t="shared" si="21"/>
        <v>0</v>
      </c>
      <c r="AD156" s="26" t="b">
        <f t="shared" si="22"/>
        <v>0</v>
      </c>
      <c r="AE156" s="26" t="b">
        <f t="shared" ca="1" si="23"/>
        <v>1</v>
      </c>
    </row>
    <row r="157" spans="1:31" x14ac:dyDescent="0.3">
      <c r="A157" t="s">
        <v>178</v>
      </c>
      <c r="B157">
        <v>12</v>
      </c>
      <c r="C157">
        <v>1</v>
      </c>
      <c r="D157">
        <v>2.6</v>
      </c>
      <c r="E157">
        <v>4.3</v>
      </c>
      <c r="F157">
        <v>62746</v>
      </c>
      <c r="G157" t="s">
        <v>224</v>
      </c>
      <c r="H157">
        <v>832</v>
      </c>
      <c r="I157" t="s">
        <v>226</v>
      </c>
      <c r="J157" s="2">
        <v>45832</v>
      </c>
      <c r="K157" t="s">
        <v>223</v>
      </c>
      <c r="L157" t="s">
        <v>224</v>
      </c>
      <c r="M157" t="s">
        <v>227</v>
      </c>
      <c r="N157" s="2">
        <v>45868</v>
      </c>
      <c r="O157" t="s">
        <v>229</v>
      </c>
      <c r="P157" t="s">
        <v>223</v>
      </c>
      <c r="Q157" t="s">
        <v>223</v>
      </c>
      <c r="R157">
        <v>4461</v>
      </c>
      <c r="S157" t="s">
        <v>223</v>
      </c>
      <c r="T157" t="s">
        <v>231</v>
      </c>
      <c r="U157">
        <v>8.67</v>
      </c>
      <c r="V157">
        <v>4.4000000000000004</v>
      </c>
      <c r="W157">
        <v>1398</v>
      </c>
      <c r="X157" s="26" t="b">
        <f t="shared" si="16"/>
        <v>0</v>
      </c>
      <c r="Y157" s="26" t="b">
        <f t="shared" si="17"/>
        <v>0</v>
      </c>
      <c r="Z157" s="26" t="b">
        <f t="shared" si="18"/>
        <v>1</v>
      </c>
      <c r="AA157" s="26" t="b">
        <f t="shared" si="19"/>
        <v>0</v>
      </c>
      <c r="AB157" s="26" t="b">
        <f t="shared" si="20"/>
        <v>1</v>
      </c>
      <c r="AC157" s="26" t="b">
        <f t="shared" si="21"/>
        <v>0</v>
      </c>
      <c r="AD157" s="26" t="b">
        <f t="shared" si="22"/>
        <v>0</v>
      </c>
      <c r="AE157" s="26" t="b">
        <f t="shared" ca="1" si="23"/>
        <v>1</v>
      </c>
    </row>
    <row r="158" spans="1:31" x14ac:dyDescent="0.3">
      <c r="A158" t="s">
        <v>179</v>
      </c>
      <c r="B158">
        <v>23</v>
      </c>
      <c r="C158">
        <v>4</v>
      </c>
      <c r="D158">
        <v>2.5</v>
      </c>
      <c r="E158">
        <v>5.0999999999999996</v>
      </c>
      <c r="F158">
        <v>99817</v>
      </c>
      <c r="G158" t="s">
        <v>224</v>
      </c>
      <c r="H158">
        <v>338</v>
      </c>
      <c r="I158" t="s">
        <v>225</v>
      </c>
      <c r="J158" s="2">
        <v>45873</v>
      </c>
      <c r="K158" t="s">
        <v>224</v>
      </c>
      <c r="L158" t="s">
        <v>223</v>
      </c>
      <c r="M158" t="s">
        <v>228</v>
      </c>
      <c r="N158" s="2">
        <v>45856</v>
      </c>
      <c r="O158" t="s">
        <v>230</v>
      </c>
      <c r="P158" t="s">
        <v>224</v>
      </c>
      <c r="Q158" t="s">
        <v>223</v>
      </c>
      <c r="R158">
        <v>2615</v>
      </c>
      <c r="S158" t="s">
        <v>224</v>
      </c>
      <c r="T158" t="s">
        <v>231</v>
      </c>
      <c r="U158">
        <v>8.9700000000000006</v>
      </c>
      <c r="V158">
        <v>0.1</v>
      </c>
      <c r="W158">
        <v>1337</v>
      </c>
      <c r="X158" s="26" t="b">
        <f t="shared" si="16"/>
        <v>0</v>
      </c>
      <c r="Y158" s="26" t="b">
        <f t="shared" si="17"/>
        <v>0</v>
      </c>
      <c r="Z158" s="26" t="b">
        <f t="shared" si="18"/>
        <v>1</v>
      </c>
      <c r="AA158" s="26" t="b">
        <f t="shared" si="19"/>
        <v>0</v>
      </c>
      <c r="AB158" s="26" t="b">
        <f t="shared" si="20"/>
        <v>0</v>
      </c>
      <c r="AC158" s="26" t="b">
        <f t="shared" si="21"/>
        <v>0</v>
      </c>
      <c r="AD158" s="26" t="b">
        <f t="shared" si="22"/>
        <v>0</v>
      </c>
      <c r="AE158" s="26" t="b">
        <f t="shared" ca="1" si="23"/>
        <v>1</v>
      </c>
    </row>
    <row r="159" spans="1:31" x14ac:dyDescent="0.3">
      <c r="A159" t="s">
        <v>180</v>
      </c>
      <c r="B159">
        <v>19</v>
      </c>
      <c r="C159">
        <v>4</v>
      </c>
      <c r="D159">
        <v>2.1</v>
      </c>
      <c r="E159">
        <v>5.2</v>
      </c>
      <c r="F159">
        <v>32873</v>
      </c>
      <c r="G159" t="s">
        <v>223</v>
      </c>
      <c r="H159">
        <v>437</v>
      </c>
      <c r="I159" t="s">
        <v>226</v>
      </c>
      <c r="J159" s="2">
        <v>45843</v>
      </c>
      <c r="K159" t="s">
        <v>224</v>
      </c>
      <c r="L159" t="s">
        <v>224</v>
      </c>
      <c r="M159" t="s">
        <v>228</v>
      </c>
      <c r="N159" s="2">
        <v>45868</v>
      </c>
      <c r="O159" t="s">
        <v>229</v>
      </c>
      <c r="P159" t="s">
        <v>223</v>
      </c>
      <c r="Q159" t="s">
        <v>224</v>
      </c>
      <c r="R159">
        <v>7926</v>
      </c>
      <c r="S159" t="s">
        <v>224</v>
      </c>
      <c r="T159" t="s">
        <v>231</v>
      </c>
      <c r="U159">
        <v>7.59</v>
      </c>
      <c r="V159">
        <v>4.3</v>
      </c>
      <c r="W159">
        <v>1340</v>
      </c>
      <c r="X159" s="26" t="b">
        <f t="shared" si="16"/>
        <v>0</v>
      </c>
      <c r="Y159" s="26" t="b">
        <f t="shared" si="17"/>
        <v>0</v>
      </c>
      <c r="Z159" s="26" t="b">
        <f t="shared" si="18"/>
        <v>0</v>
      </c>
      <c r="AA159" s="26" t="b">
        <f t="shared" si="19"/>
        <v>1</v>
      </c>
      <c r="AB159" s="26" t="b">
        <f t="shared" si="20"/>
        <v>0</v>
      </c>
      <c r="AC159" s="26" t="b">
        <f t="shared" si="21"/>
        <v>0</v>
      </c>
      <c r="AD159" s="26" t="b">
        <f t="shared" si="22"/>
        <v>0</v>
      </c>
      <c r="AE159" s="26" t="b">
        <f t="shared" ca="1" si="23"/>
        <v>0</v>
      </c>
    </row>
    <row r="160" spans="1:31" x14ac:dyDescent="0.3">
      <c r="A160" t="s">
        <v>181</v>
      </c>
      <c r="B160">
        <v>11</v>
      </c>
      <c r="C160">
        <v>8</v>
      </c>
      <c r="D160">
        <v>4.2</v>
      </c>
      <c r="E160">
        <v>1.1000000000000001</v>
      </c>
      <c r="F160">
        <v>86426</v>
      </c>
      <c r="G160" t="s">
        <v>224</v>
      </c>
      <c r="H160">
        <v>438</v>
      </c>
      <c r="I160" t="s">
        <v>225</v>
      </c>
      <c r="J160" s="2">
        <v>45879</v>
      </c>
      <c r="K160" t="s">
        <v>223</v>
      </c>
      <c r="L160" t="s">
        <v>223</v>
      </c>
      <c r="M160" t="s">
        <v>227</v>
      </c>
      <c r="N160" s="2">
        <v>45862</v>
      </c>
      <c r="O160" t="s">
        <v>229</v>
      </c>
      <c r="P160" t="s">
        <v>224</v>
      </c>
      <c r="Q160" t="s">
        <v>223</v>
      </c>
      <c r="R160">
        <v>12808</v>
      </c>
      <c r="S160" t="s">
        <v>223</v>
      </c>
      <c r="T160" t="s">
        <v>231</v>
      </c>
      <c r="U160">
        <v>3.68</v>
      </c>
      <c r="V160">
        <v>2.2999999999999998</v>
      </c>
      <c r="W160">
        <v>906</v>
      </c>
      <c r="X160" s="26" t="b">
        <f t="shared" si="16"/>
        <v>0</v>
      </c>
      <c r="Y160" s="26" t="b">
        <f t="shared" si="17"/>
        <v>0</v>
      </c>
      <c r="Z160" s="26" t="b">
        <f t="shared" si="18"/>
        <v>1</v>
      </c>
      <c r="AA160" s="26" t="b">
        <f t="shared" si="19"/>
        <v>0</v>
      </c>
      <c r="AB160" s="26" t="b">
        <f t="shared" si="20"/>
        <v>0</v>
      </c>
      <c r="AC160" s="26" t="b">
        <f t="shared" si="21"/>
        <v>1</v>
      </c>
      <c r="AD160" s="26" t="b">
        <f t="shared" si="22"/>
        <v>0</v>
      </c>
      <c r="AE160" s="26" t="b">
        <f t="shared" ca="1" si="23"/>
        <v>1</v>
      </c>
    </row>
    <row r="161" spans="1:31" x14ac:dyDescent="0.3">
      <c r="A161" t="s">
        <v>182</v>
      </c>
      <c r="B161">
        <v>30</v>
      </c>
      <c r="C161">
        <v>1</v>
      </c>
      <c r="D161">
        <v>3.7</v>
      </c>
      <c r="E161">
        <v>2.8</v>
      </c>
      <c r="F161">
        <v>84066</v>
      </c>
      <c r="G161" t="s">
        <v>224</v>
      </c>
      <c r="H161">
        <v>481</v>
      </c>
      <c r="I161" t="s">
        <v>226</v>
      </c>
      <c r="J161" s="2">
        <v>45853</v>
      </c>
      <c r="K161" t="s">
        <v>224</v>
      </c>
      <c r="L161" t="s">
        <v>224</v>
      </c>
      <c r="M161" t="s">
        <v>227</v>
      </c>
      <c r="N161" s="2">
        <v>45863</v>
      </c>
      <c r="O161" t="s">
        <v>229</v>
      </c>
      <c r="P161" t="s">
        <v>224</v>
      </c>
      <c r="Q161" t="s">
        <v>223</v>
      </c>
      <c r="R161">
        <v>13666</v>
      </c>
      <c r="S161" t="s">
        <v>223</v>
      </c>
      <c r="T161" t="s">
        <v>232</v>
      </c>
      <c r="U161">
        <v>8.5399999999999991</v>
      </c>
      <c r="V161">
        <v>3.9</v>
      </c>
      <c r="W161">
        <v>719</v>
      </c>
      <c r="X161" s="26" t="b">
        <f t="shared" si="16"/>
        <v>1</v>
      </c>
      <c r="Y161" s="26" t="b">
        <f t="shared" si="17"/>
        <v>0</v>
      </c>
      <c r="Z161" s="26" t="b">
        <f t="shared" si="18"/>
        <v>1</v>
      </c>
      <c r="AA161" s="26" t="b">
        <f t="shared" si="19"/>
        <v>0</v>
      </c>
      <c r="AB161" s="26" t="b">
        <f t="shared" si="20"/>
        <v>0</v>
      </c>
      <c r="AC161" s="26" t="b">
        <f t="shared" si="21"/>
        <v>1</v>
      </c>
      <c r="AD161" s="26" t="b">
        <f t="shared" si="22"/>
        <v>0</v>
      </c>
      <c r="AE161" s="26" t="b">
        <f t="shared" ca="1" si="23"/>
        <v>1</v>
      </c>
    </row>
    <row r="162" spans="1:31" x14ac:dyDescent="0.3">
      <c r="A162" t="s">
        <v>183</v>
      </c>
      <c r="B162">
        <v>17</v>
      </c>
      <c r="C162">
        <v>10</v>
      </c>
      <c r="D162">
        <v>1.9</v>
      </c>
      <c r="E162">
        <v>2.5</v>
      </c>
      <c r="F162">
        <v>73674</v>
      </c>
      <c r="G162" t="s">
        <v>223</v>
      </c>
      <c r="H162">
        <v>309</v>
      </c>
      <c r="I162" t="s">
        <v>226</v>
      </c>
      <c r="J162" s="2">
        <v>45832</v>
      </c>
      <c r="K162" t="s">
        <v>223</v>
      </c>
      <c r="L162" t="s">
        <v>223</v>
      </c>
      <c r="M162" t="s">
        <v>227</v>
      </c>
      <c r="N162" s="2">
        <v>45862</v>
      </c>
      <c r="O162" t="s">
        <v>230</v>
      </c>
      <c r="P162" t="s">
        <v>224</v>
      </c>
      <c r="Q162" t="s">
        <v>224</v>
      </c>
      <c r="R162">
        <v>14887</v>
      </c>
      <c r="S162" t="s">
        <v>224</v>
      </c>
      <c r="T162" t="s">
        <v>231</v>
      </c>
      <c r="U162">
        <v>4.59</v>
      </c>
      <c r="V162">
        <v>1.1000000000000001</v>
      </c>
      <c r="W162">
        <v>809</v>
      </c>
      <c r="X162" s="26" t="b">
        <f t="shared" si="16"/>
        <v>0</v>
      </c>
      <c r="Y162" s="26" t="b">
        <f t="shared" si="17"/>
        <v>0</v>
      </c>
      <c r="Z162" s="26" t="b">
        <f t="shared" si="18"/>
        <v>0</v>
      </c>
      <c r="AA162" s="26" t="b">
        <f t="shared" si="19"/>
        <v>0</v>
      </c>
      <c r="AB162" s="26" t="b">
        <f t="shared" si="20"/>
        <v>0</v>
      </c>
      <c r="AC162" s="26" t="b">
        <f t="shared" si="21"/>
        <v>0</v>
      </c>
      <c r="AD162" s="26" t="b">
        <f t="shared" si="22"/>
        <v>1</v>
      </c>
      <c r="AE162" s="26" t="b">
        <f t="shared" ca="1" si="23"/>
        <v>1</v>
      </c>
    </row>
    <row r="163" spans="1:31" x14ac:dyDescent="0.3">
      <c r="A163" t="s">
        <v>184</v>
      </c>
      <c r="B163">
        <v>31</v>
      </c>
      <c r="C163">
        <v>8</v>
      </c>
      <c r="D163">
        <v>4.3</v>
      </c>
      <c r="E163">
        <v>4.3</v>
      </c>
      <c r="F163">
        <v>33410</v>
      </c>
      <c r="G163" t="s">
        <v>223</v>
      </c>
      <c r="H163">
        <v>823</v>
      </c>
      <c r="I163" t="s">
        <v>226</v>
      </c>
      <c r="J163" s="2">
        <v>45855</v>
      </c>
      <c r="K163" t="s">
        <v>224</v>
      </c>
      <c r="L163" t="s">
        <v>224</v>
      </c>
      <c r="M163" t="s">
        <v>227</v>
      </c>
      <c r="N163" s="2">
        <v>45870</v>
      </c>
      <c r="O163" t="s">
        <v>229</v>
      </c>
      <c r="P163" t="s">
        <v>224</v>
      </c>
      <c r="Q163" t="s">
        <v>224</v>
      </c>
      <c r="R163">
        <v>11654</v>
      </c>
      <c r="S163" t="s">
        <v>224</v>
      </c>
      <c r="T163" t="s">
        <v>231</v>
      </c>
      <c r="U163">
        <v>6.56</v>
      </c>
      <c r="V163">
        <v>4.8</v>
      </c>
      <c r="W163">
        <v>1167</v>
      </c>
      <c r="X163" s="26" t="b">
        <f t="shared" si="16"/>
        <v>0</v>
      </c>
      <c r="Y163" s="26" t="b">
        <f t="shared" si="17"/>
        <v>1</v>
      </c>
      <c r="Z163" s="26" t="b">
        <f t="shared" si="18"/>
        <v>0</v>
      </c>
      <c r="AA163" s="26" t="b">
        <f t="shared" si="19"/>
        <v>1</v>
      </c>
      <c r="AB163" s="26" t="b">
        <f t="shared" si="20"/>
        <v>0</v>
      </c>
      <c r="AC163" s="26" t="b">
        <f t="shared" si="21"/>
        <v>0</v>
      </c>
      <c r="AD163" s="26" t="b">
        <f t="shared" si="22"/>
        <v>0</v>
      </c>
      <c r="AE163" s="26" t="b">
        <f t="shared" ca="1" si="23"/>
        <v>1</v>
      </c>
    </row>
    <row r="164" spans="1:31" x14ac:dyDescent="0.3">
      <c r="A164" t="s">
        <v>185</v>
      </c>
      <c r="B164">
        <v>19</v>
      </c>
      <c r="C164">
        <v>3</v>
      </c>
      <c r="D164">
        <v>1.6</v>
      </c>
      <c r="E164">
        <v>7.8</v>
      </c>
      <c r="F164">
        <v>27441</v>
      </c>
      <c r="G164" t="s">
        <v>224</v>
      </c>
      <c r="H164">
        <v>627</v>
      </c>
      <c r="I164" t="s">
        <v>225</v>
      </c>
      <c r="J164" s="2">
        <v>45844</v>
      </c>
      <c r="K164" t="s">
        <v>223</v>
      </c>
      <c r="L164" t="s">
        <v>224</v>
      </c>
      <c r="M164" t="s">
        <v>228</v>
      </c>
      <c r="N164" s="2">
        <v>45863</v>
      </c>
      <c r="O164" t="s">
        <v>230</v>
      </c>
      <c r="P164" t="s">
        <v>224</v>
      </c>
      <c r="Q164" t="s">
        <v>224</v>
      </c>
      <c r="R164">
        <v>2157</v>
      </c>
      <c r="S164" t="s">
        <v>223</v>
      </c>
      <c r="T164" t="s">
        <v>231</v>
      </c>
      <c r="U164">
        <v>7.27</v>
      </c>
      <c r="V164">
        <v>1.1000000000000001</v>
      </c>
      <c r="W164">
        <v>1047</v>
      </c>
      <c r="X164" s="26" t="b">
        <f t="shared" si="16"/>
        <v>0</v>
      </c>
      <c r="Y164" s="26" t="b">
        <f t="shared" si="17"/>
        <v>0</v>
      </c>
      <c r="Z164" s="26" t="b">
        <f t="shared" si="18"/>
        <v>0</v>
      </c>
      <c r="AA164" s="26" t="b">
        <f t="shared" si="19"/>
        <v>0</v>
      </c>
      <c r="AB164" s="26" t="b">
        <f t="shared" si="20"/>
        <v>1</v>
      </c>
      <c r="AC164" s="26" t="b">
        <f t="shared" si="21"/>
        <v>0</v>
      </c>
      <c r="AD164" s="26" t="b">
        <f t="shared" si="22"/>
        <v>1</v>
      </c>
      <c r="AE164" s="26" t="b">
        <f t="shared" ca="1" si="23"/>
        <v>0</v>
      </c>
    </row>
    <row r="165" spans="1:31" x14ac:dyDescent="0.3">
      <c r="A165" t="s">
        <v>186</v>
      </c>
      <c r="B165">
        <v>30</v>
      </c>
      <c r="C165">
        <v>7</v>
      </c>
      <c r="D165">
        <v>4.5999999999999996</v>
      </c>
      <c r="E165">
        <v>6.9</v>
      </c>
      <c r="F165">
        <v>86494</v>
      </c>
      <c r="G165" t="s">
        <v>224</v>
      </c>
      <c r="H165">
        <v>474</v>
      </c>
      <c r="I165" t="s">
        <v>225</v>
      </c>
      <c r="J165" s="2">
        <v>45872</v>
      </c>
      <c r="K165" t="s">
        <v>223</v>
      </c>
      <c r="L165" t="s">
        <v>224</v>
      </c>
      <c r="M165" t="s">
        <v>227</v>
      </c>
      <c r="N165" s="2">
        <v>45863</v>
      </c>
      <c r="O165" t="s">
        <v>229</v>
      </c>
      <c r="P165" t="s">
        <v>224</v>
      </c>
      <c r="Q165" t="s">
        <v>223</v>
      </c>
      <c r="R165">
        <v>8282</v>
      </c>
      <c r="S165" t="s">
        <v>224</v>
      </c>
      <c r="T165" t="s">
        <v>232</v>
      </c>
      <c r="U165">
        <v>7.44</v>
      </c>
      <c r="V165">
        <v>1.5</v>
      </c>
      <c r="W165">
        <v>1307</v>
      </c>
      <c r="X165" s="26" t="b">
        <f t="shared" si="16"/>
        <v>0</v>
      </c>
      <c r="Y165" s="26" t="b">
        <f t="shared" si="17"/>
        <v>1</v>
      </c>
      <c r="Z165" s="26" t="b">
        <f t="shared" si="18"/>
        <v>1</v>
      </c>
      <c r="AA165" s="26" t="b">
        <f t="shared" si="19"/>
        <v>0</v>
      </c>
      <c r="AB165" s="26" t="b">
        <f t="shared" si="20"/>
        <v>1</v>
      </c>
      <c r="AC165" s="26" t="b">
        <f t="shared" si="21"/>
        <v>0</v>
      </c>
      <c r="AD165" s="26" t="b">
        <f t="shared" si="22"/>
        <v>0</v>
      </c>
      <c r="AE165" s="26" t="b">
        <f t="shared" ca="1" si="23"/>
        <v>1</v>
      </c>
    </row>
    <row r="166" spans="1:31" x14ac:dyDescent="0.3">
      <c r="A166" t="s">
        <v>187</v>
      </c>
      <c r="B166">
        <v>20</v>
      </c>
      <c r="C166">
        <v>5</v>
      </c>
      <c r="D166">
        <v>2</v>
      </c>
      <c r="E166">
        <v>3.3</v>
      </c>
      <c r="F166">
        <v>35437</v>
      </c>
      <c r="G166" t="s">
        <v>224</v>
      </c>
      <c r="H166">
        <v>354</v>
      </c>
      <c r="I166" t="s">
        <v>225</v>
      </c>
      <c r="J166" s="2">
        <v>45860</v>
      </c>
      <c r="K166" t="s">
        <v>223</v>
      </c>
      <c r="L166" t="s">
        <v>223</v>
      </c>
      <c r="M166" t="s">
        <v>228</v>
      </c>
      <c r="N166" s="2">
        <v>45864</v>
      </c>
      <c r="O166" t="s">
        <v>230</v>
      </c>
      <c r="P166" t="s">
        <v>223</v>
      </c>
      <c r="Q166" t="s">
        <v>223</v>
      </c>
      <c r="R166">
        <v>5501</v>
      </c>
      <c r="S166" t="s">
        <v>223</v>
      </c>
      <c r="T166" t="s">
        <v>231</v>
      </c>
      <c r="U166">
        <v>4.09</v>
      </c>
      <c r="V166">
        <v>2.8</v>
      </c>
      <c r="W166">
        <v>1428</v>
      </c>
      <c r="X166" s="26" t="b">
        <f t="shared" si="16"/>
        <v>0</v>
      </c>
      <c r="Y166" s="26" t="b">
        <f t="shared" si="17"/>
        <v>0</v>
      </c>
      <c r="Z166" s="26" t="b">
        <f t="shared" si="18"/>
        <v>0</v>
      </c>
      <c r="AA166" s="26" t="b">
        <f t="shared" si="19"/>
        <v>0</v>
      </c>
      <c r="AB166" s="26" t="b">
        <f t="shared" si="20"/>
        <v>1</v>
      </c>
      <c r="AC166" s="26" t="b">
        <f t="shared" si="21"/>
        <v>0</v>
      </c>
      <c r="AD166" s="26" t="b">
        <f t="shared" si="22"/>
        <v>0</v>
      </c>
      <c r="AE166" s="26" t="b">
        <f t="shared" ca="1" si="23"/>
        <v>0</v>
      </c>
    </row>
    <row r="167" spans="1:31" x14ac:dyDescent="0.3">
      <c r="A167" t="s">
        <v>188</v>
      </c>
      <c r="B167">
        <v>24</v>
      </c>
      <c r="C167">
        <v>2</v>
      </c>
      <c r="D167">
        <v>2.2999999999999998</v>
      </c>
      <c r="E167">
        <v>7.3</v>
      </c>
      <c r="F167">
        <v>30592</v>
      </c>
      <c r="G167" t="s">
        <v>224</v>
      </c>
      <c r="H167">
        <v>640</v>
      </c>
      <c r="I167" t="s">
        <v>225</v>
      </c>
      <c r="J167" s="2">
        <v>45870</v>
      </c>
      <c r="K167" t="s">
        <v>223</v>
      </c>
      <c r="L167" t="s">
        <v>223</v>
      </c>
      <c r="M167" t="s">
        <v>228</v>
      </c>
      <c r="N167" s="2">
        <v>45863</v>
      </c>
      <c r="O167" t="s">
        <v>229</v>
      </c>
      <c r="P167" t="s">
        <v>223</v>
      </c>
      <c r="Q167" t="s">
        <v>223</v>
      </c>
      <c r="R167">
        <v>17042</v>
      </c>
      <c r="S167" t="s">
        <v>223</v>
      </c>
      <c r="T167" t="s">
        <v>232</v>
      </c>
      <c r="U167">
        <v>6.14</v>
      </c>
      <c r="V167">
        <v>3.2</v>
      </c>
      <c r="W167">
        <v>913</v>
      </c>
      <c r="X167" s="26" t="b">
        <f t="shared" si="16"/>
        <v>1</v>
      </c>
      <c r="Y167" s="26" t="b">
        <f t="shared" si="17"/>
        <v>0</v>
      </c>
      <c r="Z167" s="26" t="b">
        <f t="shared" si="18"/>
        <v>0</v>
      </c>
      <c r="AA167" s="26" t="b">
        <f t="shared" si="19"/>
        <v>0</v>
      </c>
      <c r="AB167" s="26" t="b">
        <f t="shared" si="20"/>
        <v>0</v>
      </c>
      <c r="AC167" s="26" t="b">
        <f t="shared" si="21"/>
        <v>1</v>
      </c>
      <c r="AD167" s="26" t="b">
        <f t="shared" si="22"/>
        <v>0</v>
      </c>
      <c r="AE167" s="26" t="b">
        <f t="shared" ca="1" si="23"/>
        <v>0</v>
      </c>
    </row>
    <row r="168" spans="1:31" x14ac:dyDescent="0.3">
      <c r="A168" t="s">
        <v>189</v>
      </c>
      <c r="B168">
        <v>23</v>
      </c>
      <c r="C168">
        <v>7</v>
      </c>
      <c r="D168">
        <v>2.5</v>
      </c>
      <c r="E168">
        <v>0.9</v>
      </c>
      <c r="F168">
        <v>46137</v>
      </c>
      <c r="G168" t="s">
        <v>224</v>
      </c>
      <c r="H168">
        <v>314</v>
      </c>
      <c r="I168" t="s">
        <v>226</v>
      </c>
      <c r="J168" s="2">
        <v>45842</v>
      </c>
      <c r="K168" t="s">
        <v>223</v>
      </c>
      <c r="L168" t="s">
        <v>223</v>
      </c>
      <c r="M168" t="s">
        <v>227</v>
      </c>
      <c r="N168" s="2">
        <v>45862</v>
      </c>
      <c r="O168" t="s">
        <v>229</v>
      </c>
      <c r="P168" t="s">
        <v>224</v>
      </c>
      <c r="Q168" t="s">
        <v>224</v>
      </c>
      <c r="R168">
        <v>5224</v>
      </c>
      <c r="S168" t="s">
        <v>223</v>
      </c>
      <c r="T168" t="s">
        <v>231</v>
      </c>
      <c r="U168">
        <v>5.03</v>
      </c>
      <c r="V168">
        <v>1.5</v>
      </c>
      <c r="W168">
        <v>566</v>
      </c>
      <c r="X168" s="26" t="b">
        <f t="shared" si="16"/>
        <v>0</v>
      </c>
      <c r="Y168" s="26" t="b">
        <f t="shared" si="17"/>
        <v>0</v>
      </c>
      <c r="Z168" s="26" t="b">
        <f t="shared" si="18"/>
        <v>0</v>
      </c>
      <c r="AA168" s="26" t="b">
        <f t="shared" si="19"/>
        <v>1</v>
      </c>
      <c r="AB168" s="26" t="b">
        <f t="shared" si="20"/>
        <v>1</v>
      </c>
      <c r="AC168" s="26" t="b">
        <f t="shared" si="21"/>
        <v>1</v>
      </c>
      <c r="AD168" s="26" t="b">
        <f t="shared" si="22"/>
        <v>1</v>
      </c>
      <c r="AE168" s="26" t="b">
        <f t="shared" ca="1" si="23"/>
        <v>1</v>
      </c>
    </row>
    <row r="169" spans="1:31" x14ac:dyDescent="0.3">
      <c r="A169" t="s">
        <v>190</v>
      </c>
      <c r="B169">
        <v>11</v>
      </c>
      <c r="C169">
        <v>4</v>
      </c>
      <c r="D169">
        <v>4.8</v>
      </c>
      <c r="E169">
        <v>4.8</v>
      </c>
      <c r="F169">
        <v>88195</v>
      </c>
      <c r="G169" t="s">
        <v>224</v>
      </c>
      <c r="H169">
        <v>744</v>
      </c>
      <c r="I169" t="s">
        <v>225</v>
      </c>
      <c r="J169" s="2">
        <v>45869</v>
      </c>
      <c r="K169" t="s">
        <v>224</v>
      </c>
      <c r="L169" t="s">
        <v>224</v>
      </c>
      <c r="M169" t="s">
        <v>227</v>
      </c>
      <c r="N169" s="2">
        <v>45860</v>
      </c>
      <c r="O169" t="s">
        <v>230</v>
      </c>
      <c r="P169" t="s">
        <v>223</v>
      </c>
      <c r="Q169" t="s">
        <v>223</v>
      </c>
      <c r="R169">
        <v>8350</v>
      </c>
      <c r="S169" t="s">
        <v>223</v>
      </c>
      <c r="T169" t="s">
        <v>232</v>
      </c>
      <c r="U169">
        <v>7.34</v>
      </c>
      <c r="V169">
        <v>2.9</v>
      </c>
      <c r="W169">
        <v>673</v>
      </c>
      <c r="X169" s="26" t="b">
        <f t="shared" si="16"/>
        <v>0</v>
      </c>
      <c r="Y169" s="26" t="b">
        <f t="shared" si="17"/>
        <v>1</v>
      </c>
      <c r="Z169" s="26" t="b">
        <f t="shared" si="18"/>
        <v>1</v>
      </c>
      <c r="AA169" s="26" t="b">
        <f t="shared" si="19"/>
        <v>0</v>
      </c>
      <c r="AB169" s="26" t="b">
        <f t="shared" si="20"/>
        <v>1</v>
      </c>
      <c r="AC169" s="26" t="b">
        <f t="shared" si="21"/>
        <v>1</v>
      </c>
      <c r="AD169" s="26" t="b">
        <f t="shared" si="22"/>
        <v>0</v>
      </c>
      <c r="AE169" s="26" t="b">
        <f t="shared" ca="1" si="23"/>
        <v>1</v>
      </c>
    </row>
    <row r="170" spans="1:31" x14ac:dyDescent="0.3">
      <c r="A170" t="s">
        <v>191</v>
      </c>
      <c r="B170">
        <v>13</v>
      </c>
      <c r="C170">
        <v>5</v>
      </c>
      <c r="D170">
        <v>3.8</v>
      </c>
      <c r="E170">
        <v>8</v>
      </c>
      <c r="F170">
        <v>69177</v>
      </c>
      <c r="G170" t="s">
        <v>224</v>
      </c>
      <c r="H170">
        <v>847</v>
      </c>
      <c r="I170" t="s">
        <v>225</v>
      </c>
      <c r="J170" s="2">
        <v>45852</v>
      </c>
      <c r="K170" t="s">
        <v>223</v>
      </c>
      <c r="L170" t="s">
        <v>223</v>
      </c>
      <c r="M170" t="s">
        <v>227</v>
      </c>
      <c r="N170" s="2">
        <v>45856</v>
      </c>
      <c r="O170" t="s">
        <v>229</v>
      </c>
      <c r="P170" t="s">
        <v>224</v>
      </c>
      <c r="Q170" t="s">
        <v>224</v>
      </c>
      <c r="R170">
        <v>13460</v>
      </c>
      <c r="S170" t="s">
        <v>223</v>
      </c>
      <c r="T170" t="s">
        <v>231</v>
      </c>
      <c r="U170">
        <v>4.74</v>
      </c>
      <c r="V170">
        <v>0.8</v>
      </c>
      <c r="W170">
        <v>1211</v>
      </c>
      <c r="X170" s="26" t="b">
        <f t="shared" si="16"/>
        <v>0</v>
      </c>
      <c r="Y170" s="26" t="b">
        <f t="shared" si="17"/>
        <v>0</v>
      </c>
      <c r="Z170" s="26" t="b">
        <f t="shared" si="18"/>
        <v>1</v>
      </c>
      <c r="AA170" s="26" t="b">
        <f t="shared" si="19"/>
        <v>1</v>
      </c>
      <c r="AB170" s="26" t="b">
        <f t="shared" si="20"/>
        <v>0</v>
      </c>
      <c r="AC170" s="26" t="b">
        <f t="shared" si="21"/>
        <v>0</v>
      </c>
      <c r="AD170" s="26" t="b">
        <f t="shared" si="22"/>
        <v>0</v>
      </c>
      <c r="AE170" s="26" t="b">
        <f t="shared" ca="1" si="23"/>
        <v>1</v>
      </c>
    </row>
    <row r="171" spans="1:31" x14ac:dyDescent="0.3">
      <c r="A171" t="s">
        <v>192</v>
      </c>
      <c r="B171">
        <v>31</v>
      </c>
      <c r="C171">
        <v>10</v>
      </c>
      <c r="D171">
        <v>1</v>
      </c>
      <c r="E171">
        <v>4.5</v>
      </c>
      <c r="F171">
        <v>33235</v>
      </c>
      <c r="G171" t="s">
        <v>224</v>
      </c>
      <c r="H171">
        <v>440</v>
      </c>
      <c r="I171" t="s">
        <v>226</v>
      </c>
      <c r="J171" s="2">
        <v>45837</v>
      </c>
      <c r="K171" t="s">
        <v>223</v>
      </c>
      <c r="L171" t="s">
        <v>223</v>
      </c>
      <c r="M171" t="s">
        <v>228</v>
      </c>
      <c r="N171" s="2">
        <v>45858</v>
      </c>
      <c r="O171" t="s">
        <v>229</v>
      </c>
      <c r="P171" t="s">
        <v>224</v>
      </c>
      <c r="Q171" t="s">
        <v>223</v>
      </c>
      <c r="R171">
        <v>7545</v>
      </c>
      <c r="S171" t="s">
        <v>224</v>
      </c>
      <c r="T171" t="s">
        <v>232</v>
      </c>
      <c r="U171">
        <v>3.58</v>
      </c>
      <c r="V171">
        <v>2</v>
      </c>
      <c r="W171">
        <v>664</v>
      </c>
      <c r="X171" s="26" t="b">
        <f t="shared" si="16"/>
        <v>0</v>
      </c>
      <c r="Y171" s="26" t="b">
        <f t="shared" si="17"/>
        <v>0</v>
      </c>
      <c r="Z171" s="26" t="b">
        <f t="shared" si="18"/>
        <v>0</v>
      </c>
      <c r="AA171" s="26" t="b">
        <f t="shared" si="19"/>
        <v>0</v>
      </c>
      <c r="AB171" s="26" t="b">
        <f t="shared" si="20"/>
        <v>1</v>
      </c>
      <c r="AC171" s="26" t="b">
        <f t="shared" si="21"/>
        <v>0</v>
      </c>
      <c r="AD171" s="26" t="b">
        <f t="shared" si="22"/>
        <v>1</v>
      </c>
      <c r="AE171" s="26" t="b">
        <f t="shared" ca="1" si="23"/>
        <v>1</v>
      </c>
    </row>
    <row r="172" spans="1:31" x14ac:dyDescent="0.3">
      <c r="A172" t="s">
        <v>193</v>
      </c>
      <c r="B172">
        <v>11</v>
      </c>
      <c r="C172">
        <v>8</v>
      </c>
      <c r="D172">
        <v>3</v>
      </c>
      <c r="E172">
        <v>2.5</v>
      </c>
      <c r="F172">
        <v>83001</v>
      </c>
      <c r="G172" t="s">
        <v>224</v>
      </c>
      <c r="H172">
        <v>540</v>
      </c>
      <c r="I172" t="s">
        <v>225</v>
      </c>
      <c r="J172" s="2">
        <v>45890</v>
      </c>
      <c r="K172" t="s">
        <v>223</v>
      </c>
      <c r="L172" t="s">
        <v>223</v>
      </c>
      <c r="M172" t="s">
        <v>228</v>
      </c>
      <c r="N172" s="2">
        <v>45859</v>
      </c>
      <c r="O172" t="s">
        <v>229</v>
      </c>
      <c r="P172" t="s">
        <v>223</v>
      </c>
      <c r="Q172" t="s">
        <v>223</v>
      </c>
      <c r="R172">
        <v>9385</v>
      </c>
      <c r="S172" t="s">
        <v>223</v>
      </c>
      <c r="T172" t="s">
        <v>231</v>
      </c>
      <c r="U172">
        <v>9.89</v>
      </c>
      <c r="V172">
        <v>1.5</v>
      </c>
      <c r="W172">
        <v>975</v>
      </c>
      <c r="X172" s="26" t="b">
        <f t="shared" si="16"/>
        <v>0</v>
      </c>
      <c r="Y172" s="26" t="b">
        <f t="shared" si="17"/>
        <v>0</v>
      </c>
      <c r="Z172" s="26" t="b">
        <f t="shared" si="18"/>
        <v>1</v>
      </c>
      <c r="AA172" s="26" t="b">
        <f t="shared" si="19"/>
        <v>0</v>
      </c>
      <c r="AB172" s="26" t="b">
        <f t="shared" si="20"/>
        <v>1</v>
      </c>
      <c r="AC172" s="26" t="b">
        <f t="shared" si="21"/>
        <v>1</v>
      </c>
      <c r="AD172" s="26" t="b">
        <f t="shared" si="22"/>
        <v>0</v>
      </c>
      <c r="AE172" s="26" t="b">
        <f t="shared" ca="1" si="23"/>
        <v>1</v>
      </c>
    </row>
    <row r="173" spans="1:31" x14ac:dyDescent="0.3">
      <c r="A173" t="s">
        <v>194</v>
      </c>
      <c r="B173">
        <v>11</v>
      </c>
      <c r="C173">
        <v>1</v>
      </c>
      <c r="D173">
        <v>4.3</v>
      </c>
      <c r="E173">
        <v>8.8000000000000007</v>
      </c>
      <c r="F173">
        <v>58085</v>
      </c>
      <c r="G173" t="s">
        <v>224</v>
      </c>
      <c r="H173">
        <v>620</v>
      </c>
      <c r="I173" t="s">
        <v>226</v>
      </c>
      <c r="J173" s="2">
        <v>45843</v>
      </c>
      <c r="K173" t="s">
        <v>223</v>
      </c>
      <c r="L173" t="s">
        <v>223</v>
      </c>
      <c r="M173" t="s">
        <v>227</v>
      </c>
      <c r="N173" s="2">
        <v>45855</v>
      </c>
      <c r="O173" t="s">
        <v>229</v>
      </c>
      <c r="P173" t="s">
        <v>223</v>
      </c>
      <c r="Q173" t="s">
        <v>224</v>
      </c>
      <c r="R173">
        <v>12715</v>
      </c>
      <c r="S173" t="s">
        <v>224</v>
      </c>
      <c r="T173" t="s">
        <v>231</v>
      </c>
      <c r="U173">
        <v>8.7799999999999994</v>
      </c>
      <c r="V173">
        <v>0.5</v>
      </c>
      <c r="W173">
        <v>1334</v>
      </c>
      <c r="X173" s="26" t="b">
        <f t="shared" si="16"/>
        <v>0</v>
      </c>
      <c r="Y173" s="26" t="b">
        <f t="shared" si="17"/>
        <v>1</v>
      </c>
      <c r="Z173" s="26" t="b">
        <f t="shared" si="18"/>
        <v>1</v>
      </c>
      <c r="AA173" s="26" t="b">
        <f t="shared" si="19"/>
        <v>1</v>
      </c>
      <c r="AB173" s="26" t="b">
        <f t="shared" si="20"/>
        <v>0</v>
      </c>
      <c r="AC173" s="26" t="b">
        <f t="shared" si="21"/>
        <v>0</v>
      </c>
      <c r="AD173" s="26" t="b">
        <f t="shared" si="22"/>
        <v>0</v>
      </c>
      <c r="AE173" s="26" t="b">
        <f t="shared" ca="1" si="23"/>
        <v>1</v>
      </c>
    </row>
    <row r="174" spans="1:31" x14ac:dyDescent="0.3">
      <c r="A174" t="s">
        <v>195</v>
      </c>
      <c r="B174">
        <v>20</v>
      </c>
      <c r="C174">
        <v>2</v>
      </c>
      <c r="D174">
        <v>1.5</v>
      </c>
      <c r="E174">
        <v>4.3</v>
      </c>
      <c r="F174">
        <v>79839</v>
      </c>
      <c r="G174" t="s">
        <v>224</v>
      </c>
      <c r="H174">
        <v>694</v>
      </c>
      <c r="I174" t="s">
        <v>226</v>
      </c>
      <c r="J174" s="2">
        <v>45839</v>
      </c>
      <c r="K174" t="s">
        <v>224</v>
      </c>
      <c r="L174" t="s">
        <v>223</v>
      </c>
      <c r="M174" t="s">
        <v>227</v>
      </c>
      <c r="N174" s="2">
        <v>45859</v>
      </c>
      <c r="O174" t="s">
        <v>229</v>
      </c>
      <c r="P174" t="s">
        <v>223</v>
      </c>
      <c r="Q174" t="s">
        <v>223</v>
      </c>
      <c r="R174">
        <v>14632</v>
      </c>
      <c r="S174" t="s">
        <v>224</v>
      </c>
      <c r="T174" t="s">
        <v>231</v>
      </c>
      <c r="U174">
        <v>1.81</v>
      </c>
      <c r="V174">
        <v>1.9</v>
      </c>
      <c r="W174">
        <v>867</v>
      </c>
      <c r="X174" s="26" t="b">
        <f t="shared" si="16"/>
        <v>0</v>
      </c>
      <c r="Y174" s="26" t="b">
        <f t="shared" si="17"/>
        <v>0</v>
      </c>
      <c r="Z174" s="26" t="b">
        <f t="shared" si="18"/>
        <v>1</v>
      </c>
      <c r="AA174" s="26" t="b">
        <f t="shared" si="19"/>
        <v>0</v>
      </c>
      <c r="AB174" s="26" t="b">
        <f t="shared" si="20"/>
        <v>0</v>
      </c>
      <c r="AC174" s="26" t="b">
        <f t="shared" si="21"/>
        <v>0</v>
      </c>
      <c r="AD174" s="26" t="b">
        <f t="shared" si="22"/>
        <v>1</v>
      </c>
      <c r="AE174" s="26" t="b">
        <f t="shared" ca="1" si="23"/>
        <v>1</v>
      </c>
    </row>
    <row r="175" spans="1:31" x14ac:dyDescent="0.3">
      <c r="A175" t="s">
        <v>196</v>
      </c>
      <c r="B175">
        <v>29</v>
      </c>
      <c r="C175">
        <v>0</v>
      </c>
      <c r="D175">
        <v>4.5</v>
      </c>
      <c r="E175">
        <v>8.9</v>
      </c>
      <c r="F175">
        <v>37125</v>
      </c>
      <c r="G175" t="s">
        <v>224</v>
      </c>
      <c r="H175">
        <v>799</v>
      </c>
      <c r="I175" t="s">
        <v>225</v>
      </c>
      <c r="J175" s="2">
        <v>45834</v>
      </c>
      <c r="K175" t="s">
        <v>224</v>
      </c>
      <c r="L175" t="s">
        <v>224</v>
      </c>
      <c r="M175" t="s">
        <v>227</v>
      </c>
      <c r="N175" s="2">
        <v>45857</v>
      </c>
      <c r="O175" t="s">
        <v>230</v>
      </c>
      <c r="P175" t="s">
        <v>224</v>
      </c>
      <c r="Q175" t="s">
        <v>223</v>
      </c>
      <c r="R175">
        <v>18197</v>
      </c>
      <c r="S175" t="s">
        <v>223</v>
      </c>
      <c r="T175" t="s">
        <v>231</v>
      </c>
      <c r="U175">
        <v>5.19</v>
      </c>
      <c r="V175">
        <v>3.4</v>
      </c>
      <c r="W175">
        <v>1133</v>
      </c>
      <c r="X175" s="26" t="b">
        <f t="shared" si="16"/>
        <v>1</v>
      </c>
      <c r="Y175" s="26" t="b">
        <f t="shared" si="17"/>
        <v>1</v>
      </c>
      <c r="Z175" s="26" t="b">
        <f t="shared" si="18"/>
        <v>0</v>
      </c>
      <c r="AA175" s="26" t="b">
        <f t="shared" si="19"/>
        <v>0</v>
      </c>
      <c r="AB175" s="26" t="b">
        <f t="shared" si="20"/>
        <v>0</v>
      </c>
      <c r="AC175" s="26" t="b">
        <f t="shared" si="21"/>
        <v>0</v>
      </c>
      <c r="AD175" s="26" t="b">
        <f t="shared" si="22"/>
        <v>0</v>
      </c>
      <c r="AE175" s="26" t="b">
        <f t="shared" ca="1" si="23"/>
        <v>1</v>
      </c>
    </row>
    <row r="176" spans="1:31" x14ac:dyDescent="0.3">
      <c r="A176" t="s">
        <v>197</v>
      </c>
      <c r="B176">
        <v>13</v>
      </c>
      <c r="C176">
        <v>6</v>
      </c>
      <c r="D176">
        <v>3.6</v>
      </c>
      <c r="E176">
        <v>2.9</v>
      </c>
      <c r="F176">
        <v>65318</v>
      </c>
      <c r="G176" t="s">
        <v>224</v>
      </c>
      <c r="H176">
        <v>452</v>
      </c>
      <c r="I176" t="s">
        <v>225</v>
      </c>
      <c r="J176" s="2">
        <v>45890</v>
      </c>
      <c r="K176" t="s">
        <v>223</v>
      </c>
      <c r="L176" t="s">
        <v>224</v>
      </c>
      <c r="M176" t="s">
        <v>228</v>
      </c>
      <c r="N176" s="2">
        <v>45860</v>
      </c>
      <c r="O176" t="s">
        <v>229</v>
      </c>
      <c r="P176" t="s">
        <v>224</v>
      </c>
      <c r="Q176" t="s">
        <v>224</v>
      </c>
      <c r="R176">
        <v>8893</v>
      </c>
      <c r="S176" t="s">
        <v>224</v>
      </c>
      <c r="T176" t="s">
        <v>231</v>
      </c>
      <c r="U176">
        <v>0.5</v>
      </c>
      <c r="V176">
        <v>1.1000000000000001</v>
      </c>
      <c r="W176">
        <v>1158</v>
      </c>
      <c r="X176" s="26" t="b">
        <f t="shared" si="16"/>
        <v>0</v>
      </c>
      <c r="Y176" s="26" t="b">
        <f t="shared" si="17"/>
        <v>0</v>
      </c>
      <c r="Z176" s="26" t="b">
        <f t="shared" si="18"/>
        <v>1</v>
      </c>
      <c r="AA176" s="26" t="b">
        <f t="shared" si="19"/>
        <v>1</v>
      </c>
      <c r="AB176" s="26" t="b">
        <f t="shared" si="20"/>
        <v>0</v>
      </c>
      <c r="AC176" s="26" t="b">
        <f t="shared" si="21"/>
        <v>0</v>
      </c>
      <c r="AD176" s="26" t="b">
        <f t="shared" si="22"/>
        <v>0</v>
      </c>
      <c r="AE176" s="26" t="b">
        <f t="shared" ca="1" si="23"/>
        <v>1</v>
      </c>
    </row>
    <row r="177" spans="1:31" x14ac:dyDescent="0.3">
      <c r="A177" t="s">
        <v>198</v>
      </c>
      <c r="B177">
        <v>22</v>
      </c>
      <c r="C177">
        <v>6</v>
      </c>
      <c r="D177">
        <v>4.3</v>
      </c>
      <c r="E177">
        <v>1.2</v>
      </c>
      <c r="F177">
        <v>78220</v>
      </c>
      <c r="G177" t="s">
        <v>224</v>
      </c>
      <c r="H177">
        <v>390</v>
      </c>
      <c r="I177" t="s">
        <v>226</v>
      </c>
      <c r="J177" s="2">
        <v>45862</v>
      </c>
      <c r="K177" t="s">
        <v>224</v>
      </c>
      <c r="L177" t="s">
        <v>223</v>
      </c>
      <c r="M177" t="s">
        <v>228</v>
      </c>
      <c r="N177" s="2">
        <v>45855</v>
      </c>
      <c r="O177" t="s">
        <v>229</v>
      </c>
      <c r="P177" t="s">
        <v>224</v>
      </c>
      <c r="Q177" t="s">
        <v>224</v>
      </c>
      <c r="R177">
        <v>2174</v>
      </c>
      <c r="S177" t="s">
        <v>223</v>
      </c>
      <c r="T177" t="s">
        <v>232</v>
      </c>
      <c r="U177">
        <v>7.92</v>
      </c>
      <c r="V177">
        <v>4.8</v>
      </c>
      <c r="W177">
        <v>1152</v>
      </c>
      <c r="X177" s="26" t="b">
        <f t="shared" si="16"/>
        <v>0</v>
      </c>
      <c r="Y177" s="26" t="b">
        <f t="shared" si="17"/>
        <v>0</v>
      </c>
      <c r="Z177" s="26" t="b">
        <f t="shared" si="18"/>
        <v>1</v>
      </c>
      <c r="AA177" s="26" t="b">
        <f t="shared" si="19"/>
        <v>1</v>
      </c>
      <c r="AB177" s="26" t="b">
        <f t="shared" si="20"/>
        <v>1</v>
      </c>
      <c r="AC177" s="26" t="b">
        <f t="shared" si="21"/>
        <v>0</v>
      </c>
      <c r="AD177" s="26" t="b">
        <f t="shared" si="22"/>
        <v>0</v>
      </c>
      <c r="AE177" s="26" t="b">
        <f t="shared" ca="1" si="23"/>
        <v>1</v>
      </c>
    </row>
    <row r="178" spans="1:31" x14ac:dyDescent="0.3">
      <c r="A178" t="s">
        <v>199</v>
      </c>
      <c r="B178">
        <v>19</v>
      </c>
      <c r="C178">
        <v>8</v>
      </c>
      <c r="D178">
        <v>3.2</v>
      </c>
      <c r="E178">
        <v>6.7</v>
      </c>
      <c r="F178">
        <v>79796</v>
      </c>
      <c r="G178" t="s">
        <v>224</v>
      </c>
      <c r="H178">
        <v>672</v>
      </c>
      <c r="I178" t="s">
        <v>225</v>
      </c>
      <c r="J178" s="2">
        <v>45838</v>
      </c>
      <c r="K178" t="s">
        <v>223</v>
      </c>
      <c r="L178" t="s">
        <v>224</v>
      </c>
      <c r="M178" t="s">
        <v>228</v>
      </c>
      <c r="N178" s="2">
        <v>45870</v>
      </c>
      <c r="O178" t="s">
        <v>230</v>
      </c>
      <c r="P178" t="s">
        <v>224</v>
      </c>
      <c r="Q178" t="s">
        <v>223</v>
      </c>
      <c r="R178">
        <v>4192</v>
      </c>
      <c r="S178" t="s">
        <v>223</v>
      </c>
      <c r="T178" t="s">
        <v>232</v>
      </c>
      <c r="U178">
        <v>3.41</v>
      </c>
      <c r="V178">
        <v>4.0999999999999996</v>
      </c>
      <c r="W178">
        <v>1487</v>
      </c>
      <c r="X178" s="26" t="b">
        <f t="shared" si="16"/>
        <v>0</v>
      </c>
      <c r="Y178" s="26" t="b">
        <f t="shared" si="17"/>
        <v>0</v>
      </c>
      <c r="Z178" s="26" t="b">
        <f t="shared" si="18"/>
        <v>1</v>
      </c>
      <c r="AA178" s="26" t="b">
        <f t="shared" si="19"/>
        <v>0</v>
      </c>
      <c r="AB178" s="26" t="b">
        <f t="shared" si="20"/>
        <v>1</v>
      </c>
      <c r="AC178" s="26" t="b">
        <f t="shared" si="21"/>
        <v>0</v>
      </c>
      <c r="AD178" s="26" t="b">
        <f t="shared" si="22"/>
        <v>0</v>
      </c>
      <c r="AE178" s="26" t="b">
        <f t="shared" ca="1" si="23"/>
        <v>0</v>
      </c>
    </row>
    <row r="179" spans="1:31" x14ac:dyDescent="0.3">
      <c r="A179" t="s">
        <v>200</v>
      </c>
      <c r="B179">
        <v>19</v>
      </c>
      <c r="C179">
        <v>8</v>
      </c>
      <c r="D179">
        <v>3.1</v>
      </c>
      <c r="E179">
        <v>7.2</v>
      </c>
      <c r="F179">
        <v>26000</v>
      </c>
      <c r="G179" t="s">
        <v>223</v>
      </c>
      <c r="H179">
        <v>804</v>
      </c>
      <c r="I179" t="s">
        <v>225</v>
      </c>
      <c r="J179" s="2">
        <v>45838</v>
      </c>
      <c r="K179" t="s">
        <v>224</v>
      </c>
      <c r="L179" t="s">
        <v>223</v>
      </c>
      <c r="M179" t="s">
        <v>228</v>
      </c>
      <c r="N179" s="2">
        <v>45861</v>
      </c>
      <c r="O179" t="s">
        <v>229</v>
      </c>
      <c r="P179" t="s">
        <v>223</v>
      </c>
      <c r="Q179" t="s">
        <v>224</v>
      </c>
      <c r="R179">
        <v>8064</v>
      </c>
      <c r="S179" t="s">
        <v>224</v>
      </c>
      <c r="T179" t="s">
        <v>232</v>
      </c>
      <c r="U179">
        <v>7.17</v>
      </c>
      <c r="V179">
        <v>0.5</v>
      </c>
      <c r="W179">
        <v>924</v>
      </c>
      <c r="X179" s="26" t="b">
        <f t="shared" si="16"/>
        <v>0</v>
      </c>
      <c r="Y179" s="26" t="b">
        <f t="shared" si="17"/>
        <v>0</v>
      </c>
      <c r="Z179" s="26" t="b">
        <f t="shared" si="18"/>
        <v>0</v>
      </c>
      <c r="AA179" s="26" t="b">
        <f t="shared" si="19"/>
        <v>1</v>
      </c>
      <c r="AB179" s="26" t="b">
        <f t="shared" si="20"/>
        <v>1</v>
      </c>
      <c r="AC179" s="26" t="b">
        <f t="shared" si="21"/>
        <v>1</v>
      </c>
      <c r="AD179" s="26" t="b">
        <f t="shared" si="22"/>
        <v>0</v>
      </c>
      <c r="AE179" s="26" t="b">
        <f t="shared" ca="1" si="23"/>
        <v>1</v>
      </c>
    </row>
    <row r="180" spans="1:31" x14ac:dyDescent="0.3">
      <c r="A180" t="s">
        <v>201</v>
      </c>
      <c r="B180">
        <v>11</v>
      </c>
      <c r="C180">
        <v>10</v>
      </c>
      <c r="D180">
        <v>4.3</v>
      </c>
      <c r="E180">
        <v>6.1</v>
      </c>
      <c r="F180">
        <v>79048</v>
      </c>
      <c r="G180" t="s">
        <v>224</v>
      </c>
      <c r="H180">
        <v>816</v>
      </c>
      <c r="I180" t="s">
        <v>225</v>
      </c>
      <c r="J180" s="2">
        <v>45859</v>
      </c>
      <c r="K180" t="s">
        <v>223</v>
      </c>
      <c r="L180" t="s">
        <v>223</v>
      </c>
      <c r="M180" t="s">
        <v>228</v>
      </c>
      <c r="N180" s="2">
        <v>45870</v>
      </c>
      <c r="O180" t="s">
        <v>229</v>
      </c>
      <c r="P180" t="s">
        <v>223</v>
      </c>
      <c r="Q180" t="s">
        <v>223</v>
      </c>
      <c r="R180">
        <v>4393</v>
      </c>
      <c r="S180" t="s">
        <v>224</v>
      </c>
      <c r="T180" t="s">
        <v>231</v>
      </c>
      <c r="U180">
        <v>5.04</v>
      </c>
      <c r="V180">
        <v>1.9</v>
      </c>
      <c r="W180">
        <v>1123</v>
      </c>
      <c r="X180" s="26" t="b">
        <f t="shared" si="16"/>
        <v>0</v>
      </c>
      <c r="Y180" s="26" t="b">
        <f t="shared" si="17"/>
        <v>1</v>
      </c>
      <c r="Z180" s="26" t="b">
        <f t="shared" si="18"/>
        <v>1</v>
      </c>
      <c r="AA180" s="26" t="b">
        <f t="shared" si="19"/>
        <v>0</v>
      </c>
      <c r="AB180" s="26" t="b">
        <f t="shared" si="20"/>
        <v>0</v>
      </c>
      <c r="AC180" s="26" t="b">
        <f t="shared" si="21"/>
        <v>0</v>
      </c>
      <c r="AD180" s="26" t="b">
        <f t="shared" si="22"/>
        <v>0</v>
      </c>
      <c r="AE180" s="26" t="b">
        <f t="shared" ca="1" si="23"/>
        <v>0</v>
      </c>
    </row>
    <row r="181" spans="1:31" x14ac:dyDescent="0.3">
      <c r="A181" t="s">
        <v>202</v>
      </c>
      <c r="B181">
        <v>17</v>
      </c>
      <c r="C181">
        <v>4</v>
      </c>
      <c r="D181">
        <v>2.6</v>
      </c>
      <c r="E181">
        <v>3.8</v>
      </c>
      <c r="F181">
        <v>58557</v>
      </c>
      <c r="G181" t="s">
        <v>224</v>
      </c>
      <c r="H181">
        <v>436</v>
      </c>
      <c r="I181" t="s">
        <v>225</v>
      </c>
      <c r="J181" s="2">
        <v>45864</v>
      </c>
      <c r="K181" t="s">
        <v>224</v>
      </c>
      <c r="L181" t="s">
        <v>224</v>
      </c>
      <c r="M181" t="s">
        <v>227</v>
      </c>
      <c r="N181" s="2">
        <v>45861</v>
      </c>
      <c r="O181" t="s">
        <v>229</v>
      </c>
      <c r="P181" t="s">
        <v>224</v>
      </c>
      <c r="Q181" t="s">
        <v>224</v>
      </c>
      <c r="R181">
        <v>5347</v>
      </c>
      <c r="S181" t="s">
        <v>223</v>
      </c>
      <c r="T181" t="s">
        <v>231</v>
      </c>
      <c r="U181">
        <v>7.1</v>
      </c>
      <c r="V181">
        <v>3.8</v>
      </c>
      <c r="W181">
        <v>1075</v>
      </c>
      <c r="X181" s="26" t="b">
        <f t="shared" si="16"/>
        <v>0</v>
      </c>
      <c r="Y181" s="26" t="b">
        <f t="shared" si="17"/>
        <v>0</v>
      </c>
      <c r="Z181" s="26" t="b">
        <f t="shared" si="18"/>
        <v>1</v>
      </c>
      <c r="AA181" s="26" t="b">
        <f t="shared" si="19"/>
        <v>1</v>
      </c>
      <c r="AB181" s="26" t="b">
        <f t="shared" si="20"/>
        <v>1</v>
      </c>
      <c r="AC181" s="26" t="b">
        <f t="shared" si="21"/>
        <v>0</v>
      </c>
      <c r="AD181" s="26" t="b">
        <f t="shared" si="22"/>
        <v>0</v>
      </c>
      <c r="AE181" s="26" t="b">
        <f t="shared" ca="1" si="23"/>
        <v>1</v>
      </c>
    </row>
    <row r="182" spans="1:31" x14ac:dyDescent="0.3">
      <c r="A182" t="s">
        <v>203</v>
      </c>
      <c r="B182">
        <v>25</v>
      </c>
      <c r="C182">
        <v>9</v>
      </c>
      <c r="D182">
        <v>3.3</v>
      </c>
      <c r="E182">
        <v>6.8</v>
      </c>
      <c r="F182">
        <v>74719</v>
      </c>
      <c r="G182" t="s">
        <v>224</v>
      </c>
      <c r="H182">
        <v>732</v>
      </c>
      <c r="I182" t="s">
        <v>225</v>
      </c>
      <c r="J182" s="2">
        <v>45857</v>
      </c>
      <c r="K182" t="s">
        <v>223</v>
      </c>
      <c r="L182" t="s">
        <v>223</v>
      </c>
      <c r="M182" t="s">
        <v>228</v>
      </c>
      <c r="N182" s="2">
        <v>45859</v>
      </c>
      <c r="O182" t="s">
        <v>229</v>
      </c>
      <c r="P182" t="s">
        <v>223</v>
      </c>
      <c r="Q182" t="s">
        <v>223</v>
      </c>
      <c r="R182">
        <v>9748</v>
      </c>
      <c r="S182" t="s">
        <v>223</v>
      </c>
      <c r="T182" t="s">
        <v>231</v>
      </c>
      <c r="U182">
        <v>6.83</v>
      </c>
      <c r="V182">
        <v>0.7</v>
      </c>
      <c r="W182">
        <v>563</v>
      </c>
      <c r="X182" s="26" t="b">
        <f t="shared" si="16"/>
        <v>0</v>
      </c>
      <c r="Y182" s="26" t="b">
        <f t="shared" si="17"/>
        <v>0</v>
      </c>
      <c r="Z182" s="26" t="b">
        <f t="shared" si="18"/>
        <v>1</v>
      </c>
      <c r="AA182" s="26" t="b">
        <f t="shared" si="19"/>
        <v>0</v>
      </c>
      <c r="AB182" s="26" t="b">
        <f t="shared" si="20"/>
        <v>1</v>
      </c>
      <c r="AC182" s="26" t="b">
        <f t="shared" si="21"/>
        <v>1</v>
      </c>
      <c r="AD182" s="26" t="b">
        <f t="shared" si="22"/>
        <v>0</v>
      </c>
      <c r="AE182" s="26" t="b">
        <f t="shared" ca="1" si="23"/>
        <v>1</v>
      </c>
    </row>
    <row r="183" spans="1:31" x14ac:dyDescent="0.3">
      <c r="A183" t="s">
        <v>204</v>
      </c>
      <c r="B183">
        <v>19</v>
      </c>
      <c r="C183">
        <v>3</v>
      </c>
      <c r="D183">
        <v>4</v>
      </c>
      <c r="E183">
        <v>0.8</v>
      </c>
      <c r="F183">
        <v>79322</v>
      </c>
      <c r="G183" t="s">
        <v>223</v>
      </c>
      <c r="H183">
        <v>529</v>
      </c>
      <c r="I183" t="s">
        <v>226</v>
      </c>
      <c r="J183" s="2">
        <v>45875</v>
      </c>
      <c r="K183" t="s">
        <v>224</v>
      </c>
      <c r="L183" t="s">
        <v>223</v>
      </c>
      <c r="M183" t="s">
        <v>228</v>
      </c>
      <c r="N183" s="2">
        <v>45867</v>
      </c>
      <c r="O183" t="s">
        <v>230</v>
      </c>
      <c r="P183" t="s">
        <v>224</v>
      </c>
      <c r="Q183" t="s">
        <v>223</v>
      </c>
      <c r="R183">
        <v>1424</v>
      </c>
      <c r="S183" t="s">
        <v>224</v>
      </c>
      <c r="T183" t="s">
        <v>232</v>
      </c>
      <c r="U183">
        <v>6.21</v>
      </c>
      <c r="V183">
        <v>3.9</v>
      </c>
      <c r="W183">
        <v>1391</v>
      </c>
      <c r="X183" s="26" t="b">
        <f t="shared" si="16"/>
        <v>0</v>
      </c>
      <c r="Y183" s="26" t="b">
        <f t="shared" si="17"/>
        <v>0</v>
      </c>
      <c r="Z183" s="26" t="b">
        <f t="shared" si="18"/>
        <v>0</v>
      </c>
      <c r="AA183" s="26" t="b">
        <f t="shared" si="19"/>
        <v>0</v>
      </c>
      <c r="AB183" s="26" t="b">
        <f t="shared" si="20"/>
        <v>1</v>
      </c>
      <c r="AC183" s="26" t="b">
        <f t="shared" si="21"/>
        <v>0</v>
      </c>
      <c r="AD183" s="26" t="b">
        <f t="shared" si="22"/>
        <v>1</v>
      </c>
      <c r="AE183" s="26" t="b">
        <f t="shared" ca="1" si="23"/>
        <v>0</v>
      </c>
    </row>
    <row r="184" spans="1:31" x14ac:dyDescent="0.3">
      <c r="A184" t="s">
        <v>205</v>
      </c>
      <c r="B184">
        <v>24</v>
      </c>
      <c r="C184">
        <v>3</v>
      </c>
      <c r="D184">
        <v>4.5999999999999996</v>
      </c>
      <c r="E184">
        <v>7.2</v>
      </c>
      <c r="F184">
        <v>68200</v>
      </c>
      <c r="G184" t="s">
        <v>223</v>
      </c>
      <c r="H184">
        <v>498</v>
      </c>
      <c r="I184" t="s">
        <v>226</v>
      </c>
      <c r="J184" s="2">
        <v>45862</v>
      </c>
      <c r="K184" t="s">
        <v>223</v>
      </c>
      <c r="L184" t="s">
        <v>223</v>
      </c>
      <c r="M184" t="s">
        <v>227</v>
      </c>
      <c r="N184" s="2">
        <v>45860</v>
      </c>
      <c r="O184" t="s">
        <v>229</v>
      </c>
      <c r="P184" t="s">
        <v>224</v>
      </c>
      <c r="Q184" t="s">
        <v>223</v>
      </c>
      <c r="R184">
        <v>15041</v>
      </c>
      <c r="S184" t="s">
        <v>224</v>
      </c>
      <c r="T184" t="s">
        <v>231</v>
      </c>
      <c r="U184">
        <v>1.3</v>
      </c>
      <c r="V184">
        <v>2.9</v>
      </c>
      <c r="W184">
        <v>761</v>
      </c>
      <c r="X184" s="26" t="b">
        <f t="shared" si="16"/>
        <v>0</v>
      </c>
      <c r="Y184" s="26" t="b">
        <f t="shared" si="17"/>
        <v>1</v>
      </c>
      <c r="Z184" s="26" t="b">
        <f t="shared" si="18"/>
        <v>0</v>
      </c>
      <c r="AA184" s="26" t="b">
        <f t="shared" si="19"/>
        <v>0</v>
      </c>
      <c r="AB184" s="26" t="b">
        <f t="shared" si="20"/>
        <v>0</v>
      </c>
      <c r="AC184" s="26" t="b">
        <f t="shared" si="21"/>
        <v>1</v>
      </c>
      <c r="AD184" s="26" t="b">
        <f t="shared" si="22"/>
        <v>0</v>
      </c>
      <c r="AE184" s="26" t="b">
        <f t="shared" ca="1" si="23"/>
        <v>1</v>
      </c>
    </row>
    <row r="185" spans="1:31" x14ac:dyDescent="0.3">
      <c r="A185" t="s">
        <v>206</v>
      </c>
      <c r="B185">
        <v>10</v>
      </c>
      <c r="C185">
        <v>5</v>
      </c>
      <c r="D185">
        <v>2.9</v>
      </c>
      <c r="E185">
        <v>9.4</v>
      </c>
      <c r="F185">
        <v>25235</v>
      </c>
      <c r="G185" t="s">
        <v>223</v>
      </c>
      <c r="H185">
        <v>630</v>
      </c>
      <c r="I185" t="s">
        <v>225</v>
      </c>
      <c r="J185" s="2">
        <v>45841</v>
      </c>
      <c r="K185" t="s">
        <v>224</v>
      </c>
      <c r="L185" t="s">
        <v>224</v>
      </c>
      <c r="M185" t="s">
        <v>228</v>
      </c>
      <c r="N185" s="2">
        <v>45857</v>
      </c>
      <c r="O185" t="s">
        <v>230</v>
      </c>
      <c r="P185" t="s">
        <v>223</v>
      </c>
      <c r="Q185" t="s">
        <v>223</v>
      </c>
      <c r="R185">
        <v>18059</v>
      </c>
      <c r="S185" t="s">
        <v>223</v>
      </c>
      <c r="T185" t="s">
        <v>232</v>
      </c>
      <c r="U185">
        <v>4.16</v>
      </c>
      <c r="V185">
        <v>2.7</v>
      </c>
      <c r="W185">
        <v>594</v>
      </c>
      <c r="X185" s="26" t="b">
        <f t="shared" si="16"/>
        <v>0</v>
      </c>
      <c r="Y185" s="26" t="b">
        <f t="shared" si="17"/>
        <v>0</v>
      </c>
      <c r="Z185" s="26" t="b">
        <f t="shared" si="18"/>
        <v>0</v>
      </c>
      <c r="AA185" s="26" t="b">
        <f t="shared" si="19"/>
        <v>0</v>
      </c>
      <c r="AB185" s="26" t="b">
        <f t="shared" si="20"/>
        <v>0</v>
      </c>
      <c r="AC185" s="26" t="b">
        <f t="shared" si="21"/>
        <v>1</v>
      </c>
      <c r="AD185" s="26" t="b">
        <f t="shared" si="22"/>
        <v>0</v>
      </c>
      <c r="AE185" s="26" t="b">
        <f t="shared" ca="1" si="23"/>
        <v>1</v>
      </c>
    </row>
    <row r="186" spans="1:31" x14ac:dyDescent="0.3">
      <c r="A186" t="s">
        <v>207</v>
      </c>
      <c r="B186">
        <v>21</v>
      </c>
      <c r="C186">
        <v>3</v>
      </c>
      <c r="D186">
        <v>4.5</v>
      </c>
      <c r="E186">
        <v>6.8</v>
      </c>
      <c r="F186">
        <v>63393</v>
      </c>
      <c r="G186" t="s">
        <v>224</v>
      </c>
      <c r="H186">
        <v>600</v>
      </c>
      <c r="I186" t="s">
        <v>225</v>
      </c>
      <c r="J186" s="2">
        <v>45830</v>
      </c>
      <c r="K186" t="s">
        <v>224</v>
      </c>
      <c r="L186" t="s">
        <v>223</v>
      </c>
      <c r="M186" t="s">
        <v>227</v>
      </c>
      <c r="N186" s="2">
        <v>45866</v>
      </c>
      <c r="O186" t="s">
        <v>230</v>
      </c>
      <c r="P186" t="s">
        <v>223</v>
      </c>
      <c r="Q186" t="s">
        <v>223</v>
      </c>
      <c r="R186">
        <v>2306</v>
      </c>
      <c r="S186" t="s">
        <v>224</v>
      </c>
      <c r="T186" t="s">
        <v>231</v>
      </c>
      <c r="U186">
        <v>9.16</v>
      </c>
      <c r="V186">
        <v>4.7</v>
      </c>
      <c r="W186">
        <v>895</v>
      </c>
      <c r="X186" s="26" t="b">
        <f t="shared" si="16"/>
        <v>0</v>
      </c>
      <c r="Y186" s="26" t="b">
        <f t="shared" si="17"/>
        <v>1</v>
      </c>
      <c r="Z186" s="26" t="b">
        <f t="shared" si="18"/>
        <v>1</v>
      </c>
      <c r="AA186" s="26" t="b">
        <f t="shared" si="19"/>
        <v>0</v>
      </c>
      <c r="AB186" s="26" t="b">
        <f t="shared" si="20"/>
        <v>0</v>
      </c>
      <c r="AC186" s="26" t="b">
        <f t="shared" si="21"/>
        <v>1</v>
      </c>
      <c r="AD186" s="26" t="b">
        <f t="shared" si="22"/>
        <v>0</v>
      </c>
      <c r="AE186" s="26" t="b">
        <f t="shared" ca="1" si="23"/>
        <v>0</v>
      </c>
    </row>
    <row r="187" spans="1:31" x14ac:dyDescent="0.3">
      <c r="A187" t="s">
        <v>208</v>
      </c>
      <c r="B187">
        <v>18</v>
      </c>
      <c r="C187">
        <v>8</v>
      </c>
      <c r="D187">
        <v>3.9</v>
      </c>
      <c r="E187">
        <v>0.7</v>
      </c>
      <c r="F187">
        <v>87746</v>
      </c>
      <c r="G187" t="s">
        <v>224</v>
      </c>
      <c r="H187">
        <v>826</v>
      </c>
      <c r="I187" t="s">
        <v>226</v>
      </c>
      <c r="J187" s="2">
        <v>45859</v>
      </c>
      <c r="K187" t="s">
        <v>223</v>
      </c>
      <c r="L187" t="s">
        <v>224</v>
      </c>
      <c r="M187" t="s">
        <v>227</v>
      </c>
      <c r="N187" s="2">
        <v>45865</v>
      </c>
      <c r="O187" t="s">
        <v>229</v>
      </c>
      <c r="P187" t="s">
        <v>223</v>
      </c>
      <c r="Q187" t="s">
        <v>223</v>
      </c>
      <c r="R187">
        <v>18628</v>
      </c>
      <c r="S187" t="s">
        <v>223</v>
      </c>
      <c r="T187" t="s">
        <v>232</v>
      </c>
      <c r="U187">
        <v>2.11</v>
      </c>
      <c r="V187">
        <v>3.1</v>
      </c>
      <c r="W187">
        <v>718</v>
      </c>
      <c r="X187" s="26" t="b">
        <f t="shared" si="16"/>
        <v>0</v>
      </c>
      <c r="Y187" s="26" t="b">
        <f t="shared" si="17"/>
        <v>0</v>
      </c>
      <c r="Z187" s="26" t="b">
        <f t="shared" si="18"/>
        <v>1</v>
      </c>
      <c r="AA187" s="26" t="b">
        <f t="shared" si="19"/>
        <v>0</v>
      </c>
      <c r="AB187" s="26" t="b">
        <f t="shared" si="20"/>
        <v>0</v>
      </c>
      <c r="AC187" s="26" t="b">
        <f t="shared" si="21"/>
        <v>1</v>
      </c>
      <c r="AD187" s="26" t="b">
        <f t="shared" si="22"/>
        <v>1</v>
      </c>
      <c r="AE187" s="26" t="b">
        <f t="shared" ca="1" si="23"/>
        <v>1</v>
      </c>
    </row>
    <row r="188" spans="1:31" x14ac:dyDescent="0.3">
      <c r="A188" t="s">
        <v>209</v>
      </c>
      <c r="B188">
        <v>31</v>
      </c>
      <c r="C188">
        <v>6</v>
      </c>
      <c r="D188">
        <v>4.3</v>
      </c>
      <c r="E188">
        <v>2.5</v>
      </c>
      <c r="F188">
        <v>77047</v>
      </c>
      <c r="G188" t="s">
        <v>223</v>
      </c>
      <c r="H188">
        <v>457</v>
      </c>
      <c r="I188" t="s">
        <v>225</v>
      </c>
      <c r="J188" s="2">
        <v>45861</v>
      </c>
      <c r="K188" t="s">
        <v>224</v>
      </c>
      <c r="L188" t="s">
        <v>223</v>
      </c>
      <c r="M188" t="s">
        <v>227</v>
      </c>
      <c r="N188" s="2">
        <v>45857</v>
      </c>
      <c r="O188" t="s">
        <v>229</v>
      </c>
      <c r="P188" t="s">
        <v>223</v>
      </c>
      <c r="Q188" t="s">
        <v>224</v>
      </c>
      <c r="R188">
        <v>19287</v>
      </c>
      <c r="S188" t="s">
        <v>223</v>
      </c>
      <c r="T188" t="s">
        <v>232</v>
      </c>
      <c r="U188">
        <v>9.11</v>
      </c>
      <c r="V188">
        <v>2</v>
      </c>
      <c r="W188">
        <v>961</v>
      </c>
      <c r="X188" s="26" t="b">
        <f t="shared" si="16"/>
        <v>0</v>
      </c>
      <c r="Y188" s="26" t="b">
        <f t="shared" si="17"/>
        <v>1</v>
      </c>
      <c r="Z188" s="26" t="b">
        <f t="shared" si="18"/>
        <v>0</v>
      </c>
      <c r="AA188" s="26" t="b">
        <f t="shared" si="19"/>
        <v>1</v>
      </c>
      <c r="AB188" s="26" t="b">
        <f t="shared" si="20"/>
        <v>0</v>
      </c>
      <c r="AC188" s="26" t="b">
        <f t="shared" si="21"/>
        <v>1</v>
      </c>
      <c r="AD188" s="26" t="b">
        <f t="shared" si="22"/>
        <v>0</v>
      </c>
      <c r="AE188" s="26" t="b">
        <f t="shared" ca="1" si="23"/>
        <v>1</v>
      </c>
    </row>
    <row r="189" spans="1:31" x14ac:dyDescent="0.3">
      <c r="A189" t="s">
        <v>210</v>
      </c>
      <c r="B189">
        <v>30</v>
      </c>
      <c r="C189">
        <v>6</v>
      </c>
      <c r="D189">
        <v>2.7</v>
      </c>
      <c r="E189">
        <v>0.7</v>
      </c>
      <c r="F189">
        <v>35506</v>
      </c>
      <c r="G189" t="s">
        <v>223</v>
      </c>
      <c r="H189">
        <v>364</v>
      </c>
      <c r="I189" t="s">
        <v>225</v>
      </c>
      <c r="J189" s="2">
        <v>45846</v>
      </c>
      <c r="K189" t="s">
        <v>223</v>
      </c>
      <c r="L189" t="s">
        <v>224</v>
      </c>
      <c r="M189" t="s">
        <v>227</v>
      </c>
      <c r="N189" s="2">
        <v>45864</v>
      </c>
      <c r="O189" t="s">
        <v>230</v>
      </c>
      <c r="P189" t="s">
        <v>223</v>
      </c>
      <c r="Q189" t="s">
        <v>224</v>
      </c>
      <c r="R189">
        <v>15341</v>
      </c>
      <c r="S189" t="s">
        <v>224</v>
      </c>
      <c r="T189" t="s">
        <v>231</v>
      </c>
      <c r="U189">
        <v>8.2200000000000006</v>
      </c>
      <c r="V189">
        <v>0.2</v>
      </c>
      <c r="W189">
        <v>660</v>
      </c>
      <c r="X189" s="26" t="b">
        <f t="shared" si="16"/>
        <v>0</v>
      </c>
      <c r="Y189" s="26" t="b">
        <f t="shared" si="17"/>
        <v>0</v>
      </c>
      <c r="Z189" s="26" t="b">
        <f t="shared" si="18"/>
        <v>0</v>
      </c>
      <c r="AA189" s="26" t="b">
        <f t="shared" si="19"/>
        <v>1</v>
      </c>
      <c r="AB189" s="26" t="b">
        <f t="shared" si="20"/>
        <v>0</v>
      </c>
      <c r="AC189" s="26" t="b">
        <f t="shared" si="21"/>
        <v>1</v>
      </c>
      <c r="AD189" s="26" t="b">
        <f t="shared" si="22"/>
        <v>1</v>
      </c>
      <c r="AE189" s="26" t="b">
        <f t="shared" ca="1" si="23"/>
        <v>1</v>
      </c>
    </row>
    <row r="190" spans="1:31" x14ac:dyDescent="0.3">
      <c r="A190" t="s">
        <v>211</v>
      </c>
      <c r="B190">
        <v>27</v>
      </c>
      <c r="C190">
        <v>3</v>
      </c>
      <c r="D190">
        <v>1.5</v>
      </c>
      <c r="E190">
        <v>4.2</v>
      </c>
      <c r="F190">
        <v>91529</v>
      </c>
      <c r="G190" t="s">
        <v>224</v>
      </c>
      <c r="H190">
        <v>447</v>
      </c>
      <c r="I190" t="s">
        <v>226</v>
      </c>
      <c r="J190" s="2">
        <v>45847</v>
      </c>
      <c r="K190" t="s">
        <v>224</v>
      </c>
      <c r="L190" t="s">
        <v>223</v>
      </c>
      <c r="M190" t="s">
        <v>227</v>
      </c>
      <c r="N190" s="2">
        <v>45858</v>
      </c>
      <c r="O190" t="s">
        <v>229</v>
      </c>
      <c r="P190" t="s">
        <v>223</v>
      </c>
      <c r="Q190" t="s">
        <v>224</v>
      </c>
      <c r="R190">
        <v>18601</v>
      </c>
      <c r="S190" t="s">
        <v>223</v>
      </c>
      <c r="T190" t="s">
        <v>231</v>
      </c>
      <c r="U190">
        <v>2.1</v>
      </c>
      <c r="V190">
        <v>3.7</v>
      </c>
      <c r="W190">
        <v>1243</v>
      </c>
      <c r="X190" s="26" t="b">
        <f t="shared" si="16"/>
        <v>0</v>
      </c>
      <c r="Y190" s="26" t="b">
        <f t="shared" si="17"/>
        <v>0</v>
      </c>
      <c r="Z190" s="26" t="b">
        <f t="shared" si="18"/>
        <v>1</v>
      </c>
      <c r="AA190" s="26" t="b">
        <f t="shared" si="19"/>
        <v>1</v>
      </c>
      <c r="AB190" s="26" t="b">
        <f t="shared" si="20"/>
        <v>0</v>
      </c>
      <c r="AC190" s="26" t="b">
        <f t="shared" si="21"/>
        <v>0</v>
      </c>
      <c r="AD190" s="26" t="b">
        <f t="shared" si="22"/>
        <v>1</v>
      </c>
      <c r="AE190" s="26" t="b">
        <f t="shared" ca="1" si="23"/>
        <v>1</v>
      </c>
    </row>
    <row r="191" spans="1:31" x14ac:dyDescent="0.3">
      <c r="A191" t="s">
        <v>212</v>
      </c>
      <c r="B191">
        <v>21</v>
      </c>
      <c r="C191">
        <v>3</v>
      </c>
      <c r="D191">
        <v>2.7</v>
      </c>
      <c r="E191">
        <v>6.6</v>
      </c>
      <c r="F191">
        <v>87181</v>
      </c>
      <c r="G191" t="s">
        <v>223</v>
      </c>
      <c r="H191">
        <v>464</v>
      </c>
      <c r="I191" t="s">
        <v>225</v>
      </c>
      <c r="J191" s="2">
        <v>45876</v>
      </c>
      <c r="K191" t="s">
        <v>224</v>
      </c>
      <c r="L191" t="s">
        <v>223</v>
      </c>
      <c r="M191" t="s">
        <v>227</v>
      </c>
      <c r="N191" s="2">
        <v>45860</v>
      </c>
      <c r="O191" t="s">
        <v>229</v>
      </c>
      <c r="P191" t="s">
        <v>224</v>
      </c>
      <c r="Q191" t="s">
        <v>223</v>
      </c>
      <c r="R191">
        <v>10524</v>
      </c>
      <c r="S191" t="s">
        <v>223</v>
      </c>
      <c r="T191" t="s">
        <v>231</v>
      </c>
      <c r="U191">
        <v>0.98</v>
      </c>
      <c r="V191">
        <v>3.6</v>
      </c>
      <c r="W191">
        <v>998</v>
      </c>
      <c r="X191" s="26" t="b">
        <f t="shared" si="16"/>
        <v>0</v>
      </c>
      <c r="Y191" s="26" t="b">
        <f t="shared" si="17"/>
        <v>0</v>
      </c>
      <c r="Z191" s="26" t="b">
        <f t="shared" si="18"/>
        <v>0</v>
      </c>
      <c r="AA191" s="26" t="b">
        <f t="shared" si="19"/>
        <v>0</v>
      </c>
      <c r="AB191" s="26" t="b">
        <f t="shared" si="20"/>
        <v>0</v>
      </c>
      <c r="AC191" s="26" t="b">
        <f t="shared" si="21"/>
        <v>1</v>
      </c>
      <c r="AD191" s="26" t="b">
        <f t="shared" si="22"/>
        <v>0</v>
      </c>
      <c r="AE191" s="26" t="b">
        <f t="shared" ca="1" si="23"/>
        <v>1</v>
      </c>
    </row>
    <row r="192" spans="1:31" x14ac:dyDescent="0.3">
      <c r="A192" t="s">
        <v>213</v>
      </c>
      <c r="B192">
        <v>20</v>
      </c>
      <c r="C192">
        <v>5</v>
      </c>
      <c r="D192">
        <v>1.5</v>
      </c>
      <c r="E192">
        <v>6.7</v>
      </c>
      <c r="F192">
        <v>33113</v>
      </c>
      <c r="G192" t="s">
        <v>224</v>
      </c>
      <c r="H192">
        <v>371</v>
      </c>
      <c r="I192" t="s">
        <v>225</v>
      </c>
      <c r="J192" s="2">
        <v>45870</v>
      </c>
      <c r="K192" t="s">
        <v>224</v>
      </c>
      <c r="L192" t="s">
        <v>224</v>
      </c>
      <c r="M192" t="s">
        <v>228</v>
      </c>
      <c r="N192" s="2">
        <v>45864</v>
      </c>
      <c r="O192" t="s">
        <v>229</v>
      </c>
      <c r="P192" t="s">
        <v>224</v>
      </c>
      <c r="Q192" t="s">
        <v>224</v>
      </c>
      <c r="R192">
        <v>15034</v>
      </c>
      <c r="S192" t="s">
        <v>223</v>
      </c>
      <c r="T192" t="s">
        <v>232</v>
      </c>
      <c r="U192">
        <v>3.13</v>
      </c>
      <c r="V192">
        <v>3.9</v>
      </c>
      <c r="W192">
        <v>1229</v>
      </c>
      <c r="X192" s="26" t="b">
        <f t="shared" si="16"/>
        <v>0</v>
      </c>
      <c r="Y192" s="26" t="b">
        <f t="shared" si="17"/>
        <v>0</v>
      </c>
      <c r="Z192" s="26" t="b">
        <f t="shared" si="18"/>
        <v>0</v>
      </c>
      <c r="AA192" s="26" t="b">
        <f t="shared" si="19"/>
        <v>1</v>
      </c>
      <c r="AB192" s="26" t="b">
        <f t="shared" si="20"/>
        <v>0</v>
      </c>
      <c r="AC192" s="26" t="b">
        <f t="shared" si="21"/>
        <v>0</v>
      </c>
      <c r="AD192" s="26" t="b">
        <f t="shared" si="22"/>
        <v>1</v>
      </c>
      <c r="AE192" s="26" t="b">
        <f t="shared" ca="1" si="23"/>
        <v>0</v>
      </c>
    </row>
    <row r="193" spans="1:31" x14ac:dyDescent="0.3">
      <c r="A193" t="s">
        <v>214</v>
      </c>
      <c r="B193">
        <v>30</v>
      </c>
      <c r="C193">
        <v>6</v>
      </c>
      <c r="D193">
        <v>2.1</v>
      </c>
      <c r="E193">
        <v>3.9</v>
      </c>
      <c r="F193">
        <v>63458</v>
      </c>
      <c r="G193" t="s">
        <v>224</v>
      </c>
      <c r="H193">
        <v>773</v>
      </c>
      <c r="I193" t="s">
        <v>226</v>
      </c>
      <c r="J193" s="2">
        <v>45868</v>
      </c>
      <c r="K193" t="s">
        <v>224</v>
      </c>
      <c r="L193" t="s">
        <v>224</v>
      </c>
      <c r="M193" t="s">
        <v>227</v>
      </c>
      <c r="N193" s="2">
        <v>45860</v>
      </c>
      <c r="O193" t="s">
        <v>229</v>
      </c>
      <c r="P193" t="s">
        <v>224</v>
      </c>
      <c r="Q193" t="s">
        <v>223</v>
      </c>
      <c r="R193">
        <v>18649</v>
      </c>
      <c r="S193" t="s">
        <v>223</v>
      </c>
      <c r="T193" t="s">
        <v>231</v>
      </c>
      <c r="U193">
        <v>7.34</v>
      </c>
      <c r="V193">
        <v>3.1</v>
      </c>
      <c r="W193">
        <v>1244</v>
      </c>
      <c r="X193" s="26" t="b">
        <f t="shared" si="16"/>
        <v>0</v>
      </c>
      <c r="Y193" s="26" t="b">
        <f t="shared" si="17"/>
        <v>0</v>
      </c>
      <c r="Z193" s="26" t="b">
        <f t="shared" si="18"/>
        <v>1</v>
      </c>
      <c r="AA193" s="26" t="b">
        <f t="shared" si="19"/>
        <v>0</v>
      </c>
      <c r="AB193" s="26" t="b">
        <f t="shared" si="20"/>
        <v>0</v>
      </c>
      <c r="AC193" s="26" t="b">
        <f t="shared" si="21"/>
        <v>0</v>
      </c>
      <c r="AD193" s="26" t="b">
        <f t="shared" si="22"/>
        <v>0</v>
      </c>
      <c r="AE193" s="26" t="b">
        <f t="shared" ca="1" si="23"/>
        <v>1</v>
      </c>
    </row>
    <row r="194" spans="1:31" x14ac:dyDescent="0.3">
      <c r="A194" t="s">
        <v>215</v>
      </c>
      <c r="B194">
        <v>12</v>
      </c>
      <c r="C194">
        <v>0</v>
      </c>
      <c r="D194">
        <v>4.4000000000000004</v>
      </c>
      <c r="E194">
        <v>6.5</v>
      </c>
      <c r="F194">
        <v>96269</v>
      </c>
      <c r="G194" t="s">
        <v>224</v>
      </c>
      <c r="H194">
        <v>517</v>
      </c>
      <c r="I194" t="s">
        <v>225</v>
      </c>
      <c r="J194" s="2">
        <v>45855</v>
      </c>
      <c r="K194" t="s">
        <v>224</v>
      </c>
      <c r="L194" t="s">
        <v>224</v>
      </c>
      <c r="M194" t="s">
        <v>227</v>
      </c>
      <c r="N194" s="2">
        <v>45866</v>
      </c>
      <c r="O194" t="s">
        <v>230</v>
      </c>
      <c r="P194" t="s">
        <v>223</v>
      </c>
      <c r="Q194" t="s">
        <v>224</v>
      </c>
      <c r="R194">
        <v>5387</v>
      </c>
      <c r="S194" t="s">
        <v>224</v>
      </c>
      <c r="T194" t="s">
        <v>232</v>
      </c>
      <c r="U194">
        <v>3.97</v>
      </c>
      <c r="V194">
        <v>2.5</v>
      </c>
      <c r="W194">
        <v>1178</v>
      </c>
      <c r="X194" s="26" t="b">
        <f t="shared" si="16"/>
        <v>0</v>
      </c>
      <c r="Y194" s="26" t="b">
        <f t="shared" si="17"/>
        <v>1</v>
      </c>
      <c r="Z194" s="26" t="b">
        <f t="shared" si="18"/>
        <v>1</v>
      </c>
      <c r="AA194" s="26" t="b">
        <f t="shared" si="19"/>
        <v>1</v>
      </c>
      <c r="AB194" s="26" t="b">
        <f t="shared" si="20"/>
        <v>1</v>
      </c>
      <c r="AC194" s="26" t="b">
        <f t="shared" si="21"/>
        <v>0</v>
      </c>
      <c r="AD194" s="26" t="b">
        <f t="shared" si="22"/>
        <v>0</v>
      </c>
      <c r="AE194" s="26" t="b">
        <f t="shared" ca="1" si="23"/>
        <v>1</v>
      </c>
    </row>
    <row r="195" spans="1:31" x14ac:dyDescent="0.3">
      <c r="A195" t="s">
        <v>216</v>
      </c>
      <c r="B195">
        <v>17</v>
      </c>
      <c r="C195">
        <v>9</v>
      </c>
      <c r="D195">
        <v>3.7</v>
      </c>
      <c r="E195">
        <v>7.7</v>
      </c>
      <c r="F195">
        <v>38398</v>
      </c>
      <c r="G195" t="s">
        <v>224</v>
      </c>
      <c r="H195">
        <v>463</v>
      </c>
      <c r="I195" t="s">
        <v>225</v>
      </c>
      <c r="J195" s="2">
        <v>45854</v>
      </c>
      <c r="K195" t="s">
        <v>223</v>
      </c>
      <c r="L195" t="s">
        <v>224</v>
      </c>
      <c r="M195" t="s">
        <v>228</v>
      </c>
      <c r="N195" s="2">
        <v>45856</v>
      </c>
      <c r="O195" t="s">
        <v>229</v>
      </c>
      <c r="P195" t="s">
        <v>224</v>
      </c>
      <c r="Q195" t="s">
        <v>223</v>
      </c>
      <c r="R195">
        <v>3059</v>
      </c>
      <c r="S195" t="s">
        <v>224</v>
      </c>
      <c r="T195" t="s">
        <v>231</v>
      </c>
      <c r="U195">
        <v>2.34</v>
      </c>
      <c r="V195">
        <v>3.3</v>
      </c>
      <c r="W195">
        <v>1030</v>
      </c>
      <c r="X195" s="26" t="b">
        <f t="shared" ref="X195:X201" si="24">AND(B195&gt;20,C195&lt;=2)</f>
        <v>0</v>
      </c>
      <c r="Y195" s="26" t="b">
        <f t="shared" ref="Y195:Y201" si="25">AND(D195&gt;4,E195&gt;2)</f>
        <v>0</v>
      </c>
      <c r="Z195" s="26" t="b">
        <f t="shared" ref="Z195:Z201" si="26">AND(F195&gt;50000,OR(G195="No",H195&gt;750))</f>
        <v>0</v>
      </c>
      <c r="AA195" s="26" t="b">
        <f t="shared" ref="AA195:AA201" si="27">AND(OR(O195="Single", P195="Yes"), Q195="No")</f>
        <v>0</v>
      </c>
      <c r="AB195" s="26" t="b">
        <f t="shared" ref="AB195:AB201" si="28">AND(R195&lt;10000,OR(S195="Yes",T195="Pre-approved"))</f>
        <v>0</v>
      </c>
      <c r="AC195" s="26" t="b">
        <f t="shared" ref="AC195:AC201" si="29">AND(OR(U195&gt;5,V195&gt;2),W195&lt;1000)</f>
        <v>0</v>
      </c>
      <c r="AD195" s="26" t="b">
        <f t="shared" ref="AD195:AD201" si="30">OR(E195&lt;1,D195&lt;2)</f>
        <v>0</v>
      </c>
      <c r="AE195" s="26" t="b">
        <f t="shared" ref="AE195:AE201" ca="1" si="31">OR(AND(M195&lt;&gt;"VIP", L195&lt;&gt;"Yes"), N195&lt;TODAY())</f>
        <v>1</v>
      </c>
    </row>
    <row r="196" spans="1:31" x14ac:dyDescent="0.3">
      <c r="A196" t="s">
        <v>217</v>
      </c>
      <c r="B196">
        <v>21</v>
      </c>
      <c r="C196">
        <v>6</v>
      </c>
      <c r="D196">
        <v>2.9</v>
      </c>
      <c r="E196">
        <v>4.8</v>
      </c>
      <c r="F196">
        <v>26086</v>
      </c>
      <c r="G196" t="s">
        <v>223</v>
      </c>
      <c r="H196">
        <v>631</v>
      </c>
      <c r="I196" t="s">
        <v>225</v>
      </c>
      <c r="J196" s="2">
        <v>45845</v>
      </c>
      <c r="K196" t="s">
        <v>224</v>
      </c>
      <c r="L196" t="s">
        <v>224</v>
      </c>
      <c r="M196" t="s">
        <v>227</v>
      </c>
      <c r="N196" s="2">
        <v>45867</v>
      </c>
      <c r="O196" t="s">
        <v>230</v>
      </c>
      <c r="P196" t="s">
        <v>224</v>
      </c>
      <c r="Q196" t="s">
        <v>223</v>
      </c>
      <c r="R196">
        <v>17930</v>
      </c>
      <c r="S196" t="s">
        <v>224</v>
      </c>
      <c r="T196" t="s">
        <v>231</v>
      </c>
      <c r="U196">
        <v>9.73</v>
      </c>
      <c r="V196">
        <v>1.1000000000000001</v>
      </c>
      <c r="W196">
        <v>915</v>
      </c>
      <c r="X196" s="26" t="b">
        <f t="shared" si="24"/>
        <v>0</v>
      </c>
      <c r="Y196" s="26" t="b">
        <f t="shared" si="25"/>
        <v>0</v>
      </c>
      <c r="Z196" s="26" t="b">
        <f t="shared" si="26"/>
        <v>0</v>
      </c>
      <c r="AA196" s="26" t="b">
        <f t="shared" si="27"/>
        <v>0</v>
      </c>
      <c r="AB196" s="26" t="b">
        <f t="shared" si="28"/>
        <v>0</v>
      </c>
      <c r="AC196" s="26" t="b">
        <f t="shared" si="29"/>
        <v>1</v>
      </c>
      <c r="AD196" s="26" t="b">
        <f t="shared" si="30"/>
        <v>0</v>
      </c>
      <c r="AE196" s="26" t="b">
        <f t="shared" ca="1" si="31"/>
        <v>1</v>
      </c>
    </row>
    <row r="197" spans="1:31" x14ac:dyDescent="0.3">
      <c r="A197" t="s">
        <v>218</v>
      </c>
      <c r="B197">
        <v>21</v>
      </c>
      <c r="C197">
        <v>5</v>
      </c>
      <c r="D197">
        <v>2.9</v>
      </c>
      <c r="E197">
        <v>5.0999999999999996</v>
      </c>
      <c r="F197">
        <v>99195</v>
      </c>
      <c r="G197" t="s">
        <v>223</v>
      </c>
      <c r="H197">
        <v>813</v>
      </c>
      <c r="I197" t="s">
        <v>225</v>
      </c>
      <c r="J197" s="2">
        <v>45862</v>
      </c>
      <c r="K197" t="s">
        <v>223</v>
      </c>
      <c r="L197" t="s">
        <v>223</v>
      </c>
      <c r="M197" t="s">
        <v>227</v>
      </c>
      <c r="N197" s="2">
        <v>45863</v>
      </c>
      <c r="O197" t="s">
        <v>229</v>
      </c>
      <c r="P197" t="s">
        <v>223</v>
      </c>
      <c r="Q197" t="s">
        <v>223</v>
      </c>
      <c r="R197">
        <v>6156</v>
      </c>
      <c r="S197" t="s">
        <v>224</v>
      </c>
      <c r="T197" t="s">
        <v>232</v>
      </c>
      <c r="U197">
        <v>6.61</v>
      </c>
      <c r="V197">
        <v>2.1</v>
      </c>
      <c r="W197">
        <v>838</v>
      </c>
      <c r="X197" s="26" t="b">
        <f t="shared" si="24"/>
        <v>0</v>
      </c>
      <c r="Y197" s="26" t="b">
        <f t="shared" si="25"/>
        <v>0</v>
      </c>
      <c r="Z197" s="26" t="b">
        <f t="shared" si="26"/>
        <v>1</v>
      </c>
      <c r="AA197" s="26" t="b">
        <f t="shared" si="27"/>
        <v>0</v>
      </c>
      <c r="AB197" s="26" t="b">
        <f t="shared" si="28"/>
        <v>1</v>
      </c>
      <c r="AC197" s="26" t="b">
        <f t="shared" si="29"/>
        <v>1</v>
      </c>
      <c r="AD197" s="26" t="b">
        <f t="shared" si="30"/>
        <v>0</v>
      </c>
      <c r="AE197" s="26" t="b">
        <f t="shared" ca="1" si="31"/>
        <v>0</v>
      </c>
    </row>
    <row r="198" spans="1:31" x14ac:dyDescent="0.3">
      <c r="A198" t="s">
        <v>219</v>
      </c>
      <c r="B198">
        <v>13</v>
      </c>
      <c r="C198">
        <v>7</v>
      </c>
      <c r="D198">
        <v>3.7</v>
      </c>
      <c r="E198">
        <v>5.0999999999999996</v>
      </c>
      <c r="F198">
        <v>97436</v>
      </c>
      <c r="G198" t="s">
        <v>223</v>
      </c>
      <c r="H198">
        <v>720</v>
      </c>
      <c r="I198" t="s">
        <v>225</v>
      </c>
      <c r="J198" s="2">
        <v>45875</v>
      </c>
      <c r="K198" t="s">
        <v>223</v>
      </c>
      <c r="L198" t="s">
        <v>223</v>
      </c>
      <c r="M198" t="s">
        <v>227</v>
      </c>
      <c r="N198" s="2">
        <v>45859</v>
      </c>
      <c r="O198" t="s">
        <v>229</v>
      </c>
      <c r="P198" t="s">
        <v>223</v>
      </c>
      <c r="Q198" t="s">
        <v>223</v>
      </c>
      <c r="R198">
        <v>6450</v>
      </c>
      <c r="S198" t="s">
        <v>224</v>
      </c>
      <c r="T198" t="s">
        <v>232</v>
      </c>
      <c r="U198">
        <v>5.17</v>
      </c>
      <c r="V198">
        <v>2</v>
      </c>
      <c r="W198">
        <v>1492</v>
      </c>
      <c r="X198" s="26" t="b">
        <f t="shared" si="24"/>
        <v>0</v>
      </c>
      <c r="Y198" s="26" t="b">
        <f t="shared" si="25"/>
        <v>0</v>
      </c>
      <c r="Z198" s="26" t="b">
        <f t="shared" si="26"/>
        <v>0</v>
      </c>
      <c r="AA198" s="26" t="b">
        <f t="shared" si="27"/>
        <v>0</v>
      </c>
      <c r="AB198" s="26" t="b">
        <f t="shared" si="28"/>
        <v>1</v>
      </c>
      <c r="AC198" s="26" t="b">
        <f t="shared" si="29"/>
        <v>0</v>
      </c>
      <c r="AD198" s="26" t="b">
        <f t="shared" si="30"/>
        <v>0</v>
      </c>
      <c r="AE198" s="26" t="b">
        <f t="shared" ca="1" si="31"/>
        <v>1</v>
      </c>
    </row>
    <row r="199" spans="1:31" x14ac:dyDescent="0.3">
      <c r="A199" t="s">
        <v>220</v>
      </c>
      <c r="B199">
        <v>28</v>
      </c>
      <c r="C199">
        <v>10</v>
      </c>
      <c r="D199">
        <v>1.1000000000000001</v>
      </c>
      <c r="E199">
        <v>7.3</v>
      </c>
      <c r="F199">
        <v>57152</v>
      </c>
      <c r="G199" t="s">
        <v>223</v>
      </c>
      <c r="H199">
        <v>521</v>
      </c>
      <c r="I199" t="s">
        <v>226</v>
      </c>
      <c r="J199" s="2">
        <v>45852</v>
      </c>
      <c r="K199" t="s">
        <v>224</v>
      </c>
      <c r="L199" t="s">
        <v>224</v>
      </c>
      <c r="M199" t="s">
        <v>227</v>
      </c>
      <c r="N199" s="2">
        <v>45862</v>
      </c>
      <c r="O199" t="s">
        <v>230</v>
      </c>
      <c r="P199" t="s">
        <v>223</v>
      </c>
      <c r="Q199" t="s">
        <v>223</v>
      </c>
      <c r="R199">
        <v>17738</v>
      </c>
      <c r="S199" t="s">
        <v>224</v>
      </c>
      <c r="T199" t="s">
        <v>232</v>
      </c>
      <c r="U199">
        <v>7.24</v>
      </c>
      <c r="V199">
        <v>1.7</v>
      </c>
      <c r="W199">
        <v>964</v>
      </c>
      <c r="X199" s="26" t="b">
        <f t="shared" si="24"/>
        <v>0</v>
      </c>
      <c r="Y199" s="26" t="b">
        <f t="shared" si="25"/>
        <v>0</v>
      </c>
      <c r="Z199" s="26" t="b">
        <f t="shared" si="26"/>
        <v>0</v>
      </c>
      <c r="AA199" s="26" t="b">
        <f t="shared" si="27"/>
        <v>0</v>
      </c>
      <c r="AB199" s="26" t="b">
        <f t="shared" si="28"/>
        <v>0</v>
      </c>
      <c r="AC199" s="26" t="b">
        <f t="shared" si="29"/>
        <v>1</v>
      </c>
      <c r="AD199" s="26" t="b">
        <f t="shared" si="30"/>
        <v>1</v>
      </c>
      <c r="AE199" s="26" t="b">
        <f t="shared" ca="1" si="31"/>
        <v>1</v>
      </c>
    </row>
    <row r="200" spans="1:31" x14ac:dyDescent="0.3">
      <c r="A200" t="s">
        <v>221</v>
      </c>
      <c r="B200">
        <v>29</v>
      </c>
      <c r="C200">
        <v>9</v>
      </c>
      <c r="D200">
        <v>1.3</v>
      </c>
      <c r="E200">
        <v>4.0999999999999996</v>
      </c>
      <c r="F200">
        <v>37329</v>
      </c>
      <c r="G200" t="s">
        <v>223</v>
      </c>
      <c r="H200">
        <v>316</v>
      </c>
      <c r="I200" t="s">
        <v>225</v>
      </c>
      <c r="J200" s="2">
        <v>45857</v>
      </c>
      <c r="K200" t="s">
        <v>224</v>
      </c>
      <c r="L200" t="s">
        <v>223</v>
      </c>
      <c r="M200" t="s">
        <v>227</v>
      </c>
      <c r="N200" s="2">
        <v>45860</v>
      </c>
      <c r="O200" t="s">
        <v>230</v>
      </c>
      <c r="P200" t="s">
        <v>223</v>
      </c>
      <c r="Q200" t="s">
        <v>223</v>
      </c>
      <c r="R200">
        <v>4053</v>
      </c>
      <c r="S200" t="s">
        <v>224</v>
      </c>
      <c r="T200" t="s">
        <v>232</v>
      </c>
      <c r="U200">
        <v>9.02</v>
      </c>
      <c r="V200">
        <v>2.7</v>
      </c>
      <c r="W200">
        <v>501</v>
      </c>
      <c r="X200" s="26" t="b">
        <f t="shared" si="24"/>
        <v>0</v>
      </c>
      <c r="Y200" s="26" t="b">
        <f t="shared" si="25"/>
        <v>0</v>
      </c>
      <c r="Z200" s="26" t="b">
        <f t="shared" si="26"/>
        <v>0</v>
      </c>
      <c r="AA200" s="26" t="b">
        <f t="shared" si="27"/>
        <v>0</v>
      </c>
      <c r="AB200" s="26" t="b">
        <f t="shared" si="28"/>
        <v>1</v>
      </c>
      <c r="AC200" s="26" t="b">
        <f t="shared" si="29"/>
        <v>1</v>
      </c>
      <c r="AD200" s="26" t="b">
        <f t="shared" si="30"/>
        <v>1</v>
      </c>
      <c r="AE200" s="26" t="b">
        <f t="shared" ca="1" si="31"/>
        <v>1</v>
      </c>
    </row>
    <row r="201" spans="1:31" x14ac:dyDescent="0.3">
      <c r="A201" t="s">
        <v>222</v>
      </c>
      <c r="B201">
        <v>31</v>
      </c>
      <c r="C201">
        <v>10</v>
      </c>
      <c r="D201">
        <v>2.7</v>
      </c>
      <c r="E201">
        <v>4.5</v>
      </c>
      <c r="F201">
        <v>25693</v>
      </c>
      <c r="G201" t="s">
        <v>224</v>
      </c>
      <c r="H201">
        <v>534</v>
      </c>
      <c r="I201" t="s">
        <v>226</v>
      </c>
      <c r="J201" s="2">
        <v>45840</v>
      </c>
      <c r="K201" t="s">
        <v>224</v>
      </c>
      <c r="L201" t="s">
        <v>224</v>
      </c>
      <c r="M201" t="s">
        <v>227</v>
      </c>
      <c r="N201" s="2">
        <v>45868</v>
      </c>
      <c r="O201" t="s">
        <v>229</v>
      </c>
      <c r="P201" t="s">
        <v>224</v>
      </c>
      <c r="Q201" t="s">
        <v>224</v>
      </c>
      <c r="R201">
        <v>8618</v>
      </c>
      <c r="S201" t="s">
        <v>223</v>
      </c>
      <c r="T201" t="s">
        <v>231</v>
      </c>
      <c r="U201">
        <v>5.98</v>
      </c>
      <c r="V201">
        <v>2.7</v>
      </c>
      <c r="W201">
        <v>763</v>
      </c>
      <c r="X201" s="26" t="b">
        <f t="shared" si="24"/>
        <v>0</v>
      </c>
      <c r="Y201" s="26" t="b">
        <f t="shared" si="25"/>
        <v>0</v>
      </c>
      <c r="Z201" s="26" t="b">
        <f t="shared" si="26"/>
        <v>0</v>
      </c>
      <c r="AA201" s="26" t="b">
        <f t="shared" si="27"/>
        <v>1</v>
      </c>
      <c r="AB201" s="26" t="b">
        <f t="shared" si="28"/>
        <v>1</v>
      </c>
      <c r="AC201" s="26" t="b">
        <f t="shared" si="29"/>
        <v>1</v>
      </c>
      <c r="AD201" s="26" t="b">
        <f t="shared" si="30"/>
        <v>0</v>
      </c>
      <c r="AE201" s="26" t="b">
        <f t="shared" ca="1" si="3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ECB20-3F9B-4E45-8834-9E19275CEFDE}">
  <dimension ref="A1:H35"/>
  <sheetViews>
    <sheetView workbookViewId="0">
      <selection activeCell="K7" sqref="K7"/>
    </sheetView>
  </sheetViews>
  <sheetFormatPr defaultRowHeight="14.4" x14ac:dyDescent="0.3"/>
  <sheetData>
    <row r="1" spans="1:8" x14ac:dyDescent="0.3">
      <c r="A1" s="21" t="s">
        <v>249</v>
      </c>
      <c r="B1" s="21"/>
      <c r="C1" s="21"/>
      <c r="D1" s="21"/>
      <c r="E1" s="21"/>
      <c r="F1" s="21"/>
      <c r="G1" s="21"/>
      <c r="H1" s="21"/>
    </row>
    <row r="2" spans="1:8" s="22" customFormat="1" x14ac:dyDescent="0.3"/>
    <row r="3" spans="1:8" s="23" customFormat="1" x14ac:dyDescent="0.3"/>
    <row r="4" spans="1:8" s="24" customFormat="1" x14ac:dyDescent="0.3">
      <c r="A4" s="24" t="s">
        <v>293</v>
      </c>
    </row>
    <row r="5" spans="1:8" ht="18" x14ac:dyDescent="0.3">
      <c r="A5" s="4" t="s">
        <v>233</v>
      </c>
    </row>
    <row r="6" spans="1:8" x14ac:dyDescent="0.3">
      <c r="A6" s="5"/>
    </row>
    <row r="7" spans="1:8" x14ac:dyDescent="0.3">
      <c r="A7" s="6" t="s">
        <v>234</v>
      </c>
    </row>
    <row r="9" spans="1:8" ht="18" x14ac:dyDescent="0.3">
      <c r="A9" s="4" t="s">
        <v>235</v>
      </c>
    </row>
    <row r="10" spans="1:8" x14ac:dyDescent="0.3">
      <c r="A10" s="5"/>
    </row>
    <row r="11" spans="1:8" x14ac:dyDescent="0.3">
      <c r="A11" s="6" t="s">
        <v>236</v>
      </c>
    </row>
    <row r="13" spans="1:8" ht="18" x14ac:dyDescent="0.3">
      <c r="A13" s="4" t="s">
        <v>238</v>
      </c>
    </row>
    <row r="14" spans="1:8" x14ac:dyDescent="0.3">
      <c r="A14" s="5"/>
    </row>
    <row r="15" spans="1:8" x14ac:dyDescent="0.3">
      <c r="A15" s="6" t="s">
        <v>237</v>
      </c>
    </row>
    <row r="17" spans="1:1" ht="18" x14ac:dyDescent="0.3">
      <c r="A17" s="4" t="s">
        <v>240</v>
      </c>
    </row>
    <row r="18" spans="1:1" x14ac:dyDescent="0.3">
      <c r="A18" s="5"/>
    </row>
    <row r="19" spans="1:1" x14ac:dyDescent="0.3">
      <c r="A19" s="6" t="s">
        <v>239</v>
      </c>
    </row>
    <row r="20" spans="1:1" x14ac:dyDescent="0.3">
      <c r="A20" s="3"/>
    </row>
    <row r="21" spans="1:1" ht="18" x14ac:dyDescent="0.3">
      <c r="A21" s="4" t="s">
        <v>242</v>
      </c>
    </row>
    <row r="22" spans="1:1" x14ac:dyDescent="0.3">
      <c r="A22" s="5"/>
    </row>
    <row r="23" spans="1:1" x14ac:dyDescent="0.3">
      <c r="A23" s="6" t="s">
        <v>241</v>
      </c>
    </row>
    <row r="25" spans="1:1" ht="18" x14ac:dyDescent="0.3">
      <c r="A25" s="4" t="s">
        <v>244</v>
      </c>
    </row>
    <row r="26" spans="1:1" x14ac:dyDescent="0.3">
      <c r="A26" s="5"/>
    </row>
    <row r="27" spans="1:1" x14ac:dyDescent="0.3">
      <c r="A27" s="6" t="s">
        <v>243</v>
      </c>
    </row>
    <row r="29" spans="1:1" ht="18" x14ac:dyDescent="0.3">
      <c r="A29" s="4" t="s">
        <v>246</v>
      </c>
    </row>
    <row r="30" spans="1:1" x14ac:dyDescent="0.3">
      <c r="A30" s="5"/>
    </row>
    <row r="31" spans="1:1" x14ac:dyDescent="0.3">
      <c r="A31" s="6" t="s">
        <v>245</v>
      </c>
    </row>
    <row r="33" spans="1:1" ht="18" x14ac:dyDescent="0.3">
      <c r="A33" s="4" t="s">
        <v>248</v>
      </c>
    </row>
    <row r="34" spans="1:1" x14ac:dyDescent="0.3">
      <c r="A34" s="5"/>
    </row>
    <row r="35" spans="1:1" x14ac:dyDescent="0.3">
      <c r="A35" s="6" t="s">
        <v>247</v>
      </c>
    </row>
  </sheetData>
  <mergeCells count="2">
    <mergeCell ref="A1:H1"/>
    <mergeCell ref="A2:XF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9336-2200-42D3-93EF-6AFE49DC8275}">
  <dimension ref="A1:Z1000"/>
  <sheetViews>
    <sheetView tabSelected="1" workbookViewId="0">
      <selection activeCell="L244" sqref="L244"/>
    </sheetView>
  </sheetViews>
  <sheetFormatPr defaultColWidth="8.77734375" defaultRowHeight="14.4" x14ac:dyDescent="0.3"/>
  <cols>
    <col min="1" max="1" width="13.109375" style="14" customWidth="1"/>
    <col min="2" max="7" width="8.77734375" style="14"/>
    <col min="8" max="8" width="17.44140625" style="14" customWidth="1"/>
    <col min="9" max="11" width="8.77734375" style="14"/>
    <col min="12" max="12" width="37.88671875" style="14" customWidth="1"/>
    <col min="13" max="13" width="12.33203125" style="14" customWidth="1"/>
    <col min="14" max="14" width="13" style="14" customWidth="1"/>
    <col min="15" max="16384" width="8.77734375" style="14"/>
  </cols>
  <sheetData>
    <row r="1" spans="1:26" ht="28.2" thickBot="1" x14ac:dyDescent="0.35">
      <c r="A1" s="7" t="s">
        <v>250</v>
      </c>
      <c r="B1" s="8" t="s">
        <v>251</v>
      </c>
      <c r="C1" s="8" t="s">
        <v>252</v>
      </c>
      <c r="D1" s="8" t="s">
        <v>253</v>
      </c>
      <c r="E1" s="8" t="s">
        <v>254</v>
      </c>
      <c r="F1" s="9" t="s">
        <v>255</v>
      </c>
      <c r="G1" s="9" t="s">
        <v>256</v>
      </c>
      <c r="H1" s="9" t="s">
        <v>257</v>
      </c>
      <c r="I1" s="10" t="s">
        <v>258</v>
      </c>
      <c r="J1" s="11" t="s">
        <v>259</v>
      </c>
      <c r="K1" s="12"/>
      <c r="L1" s="13" t="s">
        <v>260</v>
      </c>
      <c r="M1" s="10" t="s">
        <v>261</v>
      </c>
      <c r="N1" s="11" t="s">
        <v>262</v>
      </c>
      <c r="O1" s="12"/>
      <c r="P1" s="12"/>
      <c r="Q1" s="12"/>
      <c r="R1" s="12"/>
      <c r="S1" s="12"/>
      <c r="T1" s="12"/>
      <c r="U1" s="12"/>
      <c r="V1" s="12"/>
      <c r="W1" s="12"/>
      <c r="X1" s="12"/>
      <c r="Y1" s="12"/>
      <c r="Z1" s="12"/>
    </row>
    <row r="2" spans="1:26" ht="83.4" thickBot="1" x14ac:dyDescent="0.35">
      <c r="A2" s="15">
        <v>43831</v>
      </c>
      <c r="B2" s="16" t="s">
        <v>263</v>
      </c>
      <c r="C2" s="16" t="s">
        <v>264</v>
      </c>
      <c r="D2" s="16" t="s">
        <v>265</v>
      </c>
      <c r="E2" s="16" t="s">
        <v>266</v>
      </c>
      <c r="F2" s="17">
        <v>33</v>
      </c>
      <c r="G2" s="17">
        <v>1.77</v>
      </c>
      <c r="H2" s="17">
        <v>58</v>
      </c>
      <c r="I2" s="18" t="b">
        <f>AND(OR(AND(B2="East", C2="Boston"), AND(D2="Cookies", E2="Chocolate Chip")), H2&lt;500)</f>
        <v>1</v>
      </c>
      <c r="J2" s="18" t="b">
        <f>OR(
   AND(NOT(OR(B2="East", C2="Boston")), D2="Cookies", E2="Chocolate Chip"),
   H2&gt;500
)</f>
        <v>0</v>
      </c>
      <c r="K2" s="12"/>
      <c r="L2" s="19" t="s">
        <v>267</v>
      </c>
      <c r="M2" s="18" t="b">
        <v>1</v>
      </c>
      <c r="N2" s="18" t="b">
        <v>0</v>
      </c>
      <c r="O2" s="12"/>
      <c r="P2" s="12"/>
      <c r="Q2" s="12"/>
      <c r="R2" s="12"/>
      <c r="S2" s="12"/>
      <c r="T2" s="12"/>
      <c r="U2" s="12"/>
      <c r="V2" s="12"/>
      <c r="W2" s="12"/>
      <c r="X2" s="12"/>
      <c r="Y2" s="12"/>
      <c r="Z2" s="12"/>
    </row>
    <row r="3" spans="1:26" ht="28.2" thickBot="1" x14ac:dyDescent="0.35">
      <c r="A3" s="15">
        <v>43834</v>
      </c>
      <c r="B3" s="16" t="s">
        <v>263</v>
      </c>
      <c r="C3" s="16" t="s">
        <v>264</v>
      </c>
      <c r="D3" s="16" t="s">
        <v>268</v>
      </c>
      <c r="E3" s="16" t="s">
        <v>269</v>
      </c>
      <c r="F3" s="17">
        <v>87</v>
      </c>
      <c r="G3" s="17">
        <v>3.49</v>
      </c>
      <c r="H3" s="17">
        <v>304</v>
      </c>
      <c r="I3" s="18" t="b">
        <f t="shared" ref="I3:I66" si="0">AND(OR(AND(B3="East", C3="Boston"), AND(D3="Cookies", E3="Chocolate Chip")), H3&lt;500)</f>
        <v>1</v>
      </c>
      <c r="J3" s="18" t="b">
        <f t="shared" ref="J3:J66" si="1">OR(
   AND(NOT(OR(B3="East", C3="Boston")), D3="Cookies", E3="Chocolate Chip"),
   H3&gt;500
)</f>
        <v>0</v>
      </c>
      <c r="K3" s="12"/>
      <c r="L3" s="12"/>
      <c r="M3" s="18" t="b">
        <v>1</v>
      </c>
      <c r="N3" s="18" t="b">
        <v>0</v>
      </c>
      <c r="O3" s="12"/>
      <c r="P3" s="12"/>
      <c r="Q3" s="12"/>
      <c r="R3" s="12"/>
      <c r="S3" s="12"/>
      <c r="T3" s="12"/>
      <c r="U3" s="12"/>
      <c r="V3" s="12"/>
      <c r="W3" s="12"/>
      <c r="X3" s="12"/>
      <c r="Y3" s="12"/>
      <c r="Z3" s="12"/>
    </row>
    <row r="4" spans="1:26" ht="28.2" thickBot="1" x14ac:dyDescent="0.35">
      <c r="A4" s="15">
        <v>43837</v>
      </c>
      <c r="B4" s="16" t="s">
        <v>270</v>
      </c>
      <c r="C4" s="16" t="s">
        <v>271</v>
      </c>
      <c r="D4" s="16" t="s">
        <v>272</v>
      </c>
      <c r="E4" s="16" t="s">
        <v>273</v>
      </c>
      <c r="F4" s="17">
        <v>58</v>
      </c>
      <c r="G4" s="17">
        <v>1.87</v>
      </c>
      <c r="H4" s="17">
        <v>108</v>
      </c>
      <c r="I4" s="18" t="b">
        <f t="shared" si="0"/>
        <v>1</v>
      </c>
      <c r="J4" s="18" t="b">
        <f t="shared" si="1"/>
        <v>1</v>
      </c>
      <c r="K4" s="12"/>
      <c r="L4" s="12"/>
      <c r="M4" s="18" t="b">
        <v>1</v>
      </c>
      <c r="N4" s="18" t="b">
        <v>1</v>
      </c>
      <c r="O4" s="12"/>
      <c r="P4" s="12"/>
      <c r="Q4" s="12"/>
      <c r="R4" s="12"/>
      <c r="S4" s="12"/>
      <c r="T4" s="12"/>
      <c r="U4" s="12"/>
      <c r="V4" s="12"/>
      <c r="W4" s="12"/>
      <c r="X4" s="12"/>
      <c r="Y4" s="12"/>
      <c r="Z4" s="12"/>
    </row>
    <row r="5" spans="1:26" ht="28.2" thickBot="1" x14ac:dyDescent="0.35">
      <c r="A5" s="15">
        <v>43840</v>
      </c>
      <c r="B5" s="16" t="s">
        <v>263</v>
      </c>
      <c r="C5" s="16" t="s">
        <v>274</v>
      </c>
      <c r="D5" s="16" t="s">
        <v>272</v>
      </c>
      <c r="E5" s="16" t="s">
        <v>273</v>
      </c>
      <c r="F5" s="17">
        <v>82</v>
      </c>
      <c r="G5" s="17">
        <v>1.87</v>
      </c>
      <c r="H5" s="17">
        <v>153</v>
      </c>
      <c r="I5" s="18" t="b">
        <f t="shared" si="0"/>
        <v>1</v>
      </c>
      <c r="J5" s="18" t="b">
        <f t="shared" si="1"/>
        <v>0</v>
      </c>
      <c r="K5" s="12"/>
      <c r="L5" s="13" t="s">
        <v>275</v>
      </c>
      <c r="M5" s="18" t="b">
        <v>1</v>
      </c>
      <c r="N5" s="18" t="b">
        <v>0</v>
      </c>
      <c r="O5" s="12"/>
      <c r="P5" s="12"/>
      <c r="Q5" s="12"/>
      <c r="R5" s="12"/>
      <c r="S5" s="12"/>
      <c r="T5" s="12"/>
      <c r="U5" s="12"/>
      <c r="V5" s="12"/>
      <c r="W5" s="12"/>
      <c r="X5" s="12"/>
      <c r="Y5" s="12"/>
      <c r="Z5" s="12"/>
    </row>
    <row r="6" spans="1:26" ht="83.4" thickBot="1" x14ac:dyDescent="0.35">
      <c r="A6" s="15">
        <v>43843</v>
      </c>
      <c r="B6" s="16" t="s">
        <v>263</v>
      </c>
      <c r="C6" s="16" t="s">
        <v>264</v>
      </c>
      <c r="D6" s="16" t="s">
        <v>272</v>
      </c>
      <c r="E6" s="16" t="s">
        <v>276</v>
      </c>
      <c r="F6" s="17">
        <v>38</v>
      </c>
      <c r="G6" s="17">
        <v>2.1800000000000002</v>
      </c>
      <c r="H6" s="17">
        <v>83</v>
      </c>
      <c r="I6" s="18" t="b">
        <f t="shared" si="0"/>
        <v>1</v>
      </c>
      <c r="J6" s="18" t="b">
        <f t="shared" si="1"/>
        <v>0</v>
      </c>
      <c r="K6" s="12"/>
      <c r="L6" s="20" t="s">
        <v>277</v>
      </c>
      <c r="M6" s="18" t="b">
        <v>1</v>
      </c>
      <c r="N6" s="18" t="b">
        <v>0</v>
      </c>
      <c r="O6" s="12"/>
      <c r="P6" s="12"/>
      <c r="Q6" s="12"/>
      <c r="R6" s="12"/>
      <c r="S6" s="12"/>
      <c r="T6" s="12"/>
      <c r="U6" s="12"/>
      <c r="V6" s="12"/>
      <c r="W6" s="12"/>
      <c r="X6" s="12"/>
      <c r="Y6" s="12"/>
      <c r="Z6" s="12"/>
    </row>
    <row r="7" spans="1:26" ht="15" thickBot="1" x14ac:dyDescent="0.35">
      <c r="A7" s="15">
        <v>43846</v>
      </c>
      <c r="B7" s="16" t="s">
        <v>263</v>
      </c>
      <c r="C7" s="16" t="s">
        <v>264</v>
      </c>
      <c r="D7" s="16" t="s">
        <v>265</v>
      </c>
      <c r="E7" s="16" t="s">
        <v>266</v>
      </c>
      <c r="F7" s="17">
        <v>54</v>
      </c>
      <c r="G7" s="17">
        <v>1.77</v>
      </c>
      <c r="H7" s="17">
        <v>96</v>
      </c>
      <c r="I7" s="18" t="b">
        <f t="shared" si="0"/>
        <v>1</v>
      </c>
      <c r="J7" s="18" t="b">
        <f t="shared" si="1"/>
        <v>0</v>
      </c>
      <c r="K7" s="12"/>
      <c r="L7" s="12"/>
      <c r="M7" s="18" t="b">
        <v>1</v>
      </c>
      <c r="N7" s="18" t="b">
        <v>0</v>
      </c>
      <c r="O7" s="12"/>
      <c r="P7" s="12"/>
      <c r="Q7" s="12"/>
      <c r="R7" s="12"/>
      <c r="S7" s="12"/>
      <c r="T7" s="12"/>
      <c r="U7" s="12"/>
      <c r="V7" s="12"/>
      <c r="W7" s="12"/>
      <c r="X7" s="12"/>
      <c r="Y7" s="12"/>
      <c r="Z7" s="12"/>
    </row>
    <row r="8" spans="1:26" ht="28.2" thickBot="1" x14ac:dyDescent="0.35">
      <c r="A8" s="15">
        <v>43849</v>
      </c>
      <c r="B8" s="16" t="s">
        <v>263</v>
      </c>
      <c r="C8" s="16" t="s">
        <v>264</v>
      </c>
      <c r="D8" s="16" t="s">
        <v>268</v>
      </c>
      <c r="E8" s="16" t="s">
        <v>269</v>
      </c>
      <c r="F8" s="17">
        <v>149</v>
      </c>
      <c r="G8" s="17">
        <v>3.49</v>
      </c>
      <c r="H8" s="17">
        <v>520</v>
      </c>
      <c r="I8" s="18" t="b">
        <f t="shared" si="0"/>
        <v>0</v>
      </c>
      <c r="J8" s="18" t="b">
        <f t="shared" si="1"/>
        <v>1</v>
      </c>
      <c r="K8" s="12"/>
      <c r="L8" s="12"/>
      <c r="M8" s="18" t="b">
        <v>0</v>
      </c>
      <c r="N8" s="18" t="b">
        <v>1</v>
      </c>
      <c r="O8" s="12"/>
      <c r="P8" s="12"/>
      <c r="Q8" s="12"/>
      <c r="R8" s="12"/>
      <c r="S8" s="12"/>
      <c r="T8" s="12"/>
      <c r="U8" s="12"/>
      <c r="V8" s="12"/>
      <c r="W8" s="12"/>
      <c r="X8" s="12"/>
      <c r="Y8" s="12"/>
      <c r="Z8" s="12"/>
    </row>
    <row r="9" spans="1:26" ht="28.2" thickBot="1" x14ac:dyDescent="0.35">
      <c r="A9" s="15">
        <v>43852</v>
      </c>
      <c r="B9" s="16" t="s">
        <v>270</v>
      </c>
      <c r="C9" s="16" t="s">
        <v>271</v>
      </c>
      <c r="D9" s="16" t="s">
        <v>265</v>
      </c>
      <c r="E9" s="16" t="s">
        <v>266</v>
      </c>
      <c r="F9" s="17">
        <v>51</v>
      </c>
      <c r="G9" s="17">
        <v>1.77</v>
      </c>
      <c r="H9" s="17">
        <v>90</v>
      </c>
      <c r="I9" s="18" t="b">
        <f t="shared" si="0"/>
        <v>0</v>
      </c>
      <c r="J9" s="18" t="b">
        <f t="shared" si="1"/>
        <v>0</v>
      </c>
      <c r="K9" s="12"/>
      <c r="L9" s="12"/>
      <c r="M9" s="18" t="b">
        <v>0</v>
      </c>
      <c r="N9" s="18" t="b">
        <v>0</v>
      </c>
      <c r="O9" s="12"/>
      <c r="P9" s="12"/>
      <c r="Q9" s="12"/>
      <c r="R9" s="12"/>
      <c r="S9" s="12"/>
      <c r="T9" s="12"/>
      <c r="U9" s="12"/>
      <c r="V9" s="12"/>
      <c r="W9" s="12"/>
      <c r="X9" s="12"/>
      <c r="Y9" s="12"/>
      <c r="Z9" s="12"/>
    </row>
    <row r="10" spans="1:26" ht="15" thickBot="1" x14ac:dyDescent="0.35">
      <c r="A10" s="15">
        <v>43855</v>
      </c>
      <c r="B10" s="16" t="s">
        <v>263</v>
      </c>
      <c r="C10" s="16" t="s">
        <v>274</v>
      </c>
      <c r="D10" s="16" t="s">
        <v>265</v>
      </c>
      <c r="E10" s="16" t="s">
        <v>266</v>
      </c>
      <c r="F10" s="17">
        <v>100</v>
      </c>
      <c r="G10" s="17">
        <v>1.77</v>
      </c>
      <c r="H10" s="17">
        <v>177</v>
      </c>
      <c r="I10" s="18" t="b">
        <f t="shared" si="0"/>
        <v>0</v>
      </c>
      <c r="J10" s="18" t="b">
        <f t="shared" si="1"/>
        <v>0</v>
      </c>
      <c r="K10" s="12"/>
      <c r="L10" s="12"/>
      <c r="M10" s="18" t="b">
        <v>0</v>
      </c>
      <c r="N10" s="18" t="b">
        <v>0</v>
      </c>
      <c r="O10" s="12"/>
      <c r="P10" s="12"/>
      <c r="Q10" s="12"/>
      <c r="R10" s="12"/>
      <c r="S10" s="12"/>
      <c r="T10" s="12"/>
      <c r="U10" s="12"/>
      <c r="V10" s="12"/>
      <c r="W10" s="12"/>
      <c r="X10" s="12"/>
      <c r="Y10" s="12"/>
      <c r="Z10" s="12"/>
    </row>
    <row r="11" spans="1:26" ht="28.2" thickBot="1" x14ac:dyDescent="0.35">
      <c r="A11" s="15">
        <v>43858</v>
      </c>
      <c r="B11" s="16" t="s">
        <v>263</v>
      </c>
      <c r="C11" s="16" t="s">
        <v>274</v>
      </c>
      <c r="D11" s="16" t="s">
        <v>278</v>
      </c>
      <c r="E11" s="16" t="s">
        <v>279</v>
      </c>
      <c r="F11" s="17">
        <v>28</v>
      </c>
      <c r="G11" s="17">
        <v>1.35</v>
      </c>
      <c r="H11" s="17">
        <v>38</v>
      </c>
      <c r="I11" s="18" t="b">
        <f t="shared" si="0"/>
        <v>0</v>
      </c>
      <c r="J11" s="18" t="b">
        <f t="shared" si="1"/>
        <v>0</v>
      </c>
      <c r="K11" s="12"/>
      <c r="L11" s="12"/>
      <c r="M11" s="18" t="b">
        <v>0</v>
      </c>
      <c r="N11" s="18" t="b">
        <v>0</v>
      </c>
      <c r="O11" s="12"/>
      <c r="P11" s="12"/>
      <c r="Q11" s="12"/>
      <c r="R11" s="12"/>
      <c r="S11" s="12"/>
      <c r="T11" s="12"/>
      <c r="U11" s="12"/>
      <c r="V11" s="12"/>
      <c r="W11" s="12"/>
      <c r="X11" s="12"/>
      <c r="Y11" s="12"/>
      <c r="Z11" s="12"/>
    </row>
    <row r="12" spans="1:26" ht="28.2" thickBot="1" x14ac:dyDescent="0.35">
      <c r="A12" s="15">
        <v>43861</v>
      </c>
      <c r="B12" s="16" t="s">
        <v>263</v>
      </c>
      <c r="C12" s="16" t="s">
        <v>264</v>
      </c>
      <c r="D12" s="16" t="s">
        <v>272</v>
      </c>
      <c r="E12" s="16" t="s">
        <v>276</v>
      </c>
      <c r="F12" s="17">
        <v>36</v>
      </c>
      <c r="G12" s="17">
        <v>2.1800000000000002</v>
      </c>
      <c r="H12" s="17">
        <v>78</v>
      </c>
      <c r="I12" s="18" t="b">
        <f t="shared" si="0"/>
        <v>1</v>
      </c>
      <c r="J12" s="18" t="b">
        <f t="shared" si="1"/>
        <v>0</v>
      </c>
      <c r="K12" s="12"/>
      <c r="L12" s="12"/>
      <c r="M12" s="18" t="b">
        <v>1</v>
      </c>
      <c r="N12" s="18" t="b">
        <v>0</v>
      </c>
      <c r="O12" s="12"/>
      <c r="P12" s="12"/>
      <c r="Q12" s="12"/>
      <c r="R12" s="12"/>
      <c r="S12" s="12"/>
      <c r="T12" s="12"/>
      <c r="U12" s="12"/>
      <c r="V12" s="12"/>
      <c r="W12" s="12"/>
      <c r="X12" s="12"/>
      <c r="Y12" s="12"/>
      <c r="Z12" s="12"/>
    </row>
    <row r="13" spans="1:26" ht="28.2" thickBot="1" x14ac:dyDescent="0.35">
      <c r="A13" s="15">
        <v>43864</v>
      </c>
      <c r="B13" s="16" t="s">
        <v>263</v>
      </c>
      <c r="C13" s="16" t="s">
        <v>264</v>
      </c>
      <c r="D13" s="16" t="s">
        <v>272</v>
      </c>
      <c r="E13" s="16" t="s">
        <v>273</v>
      </c>
      <c r="F13" s="17">
        <v>31</v>
      </c>
      <c r="G13" s="17">
        <v>1.87</v>
      </c>
      <c r="H13" s="17">
        <v>58</v>
      </c>
      <c r="I13" s="18" t="b">
        <f t="shared" si="0"/>
        <v>1</v>
      </c>
      <c r="J13" s="18" t="b">
        <f t="shared" si="1"/>
        <v>0</v>
      </c>
      <c r="K13" s="12"/>
      <c r="L13" s="12"/>
      <c r="M13" s="18" t="b">
        <v>1</v>
      </c>
      <c r="N13" s="18" t="b">
        <v>0</v>
      </c>
      <c r="O13" s="12"/>
      <c r="P13" s="12"/>
      <c r="Q13" s="12"/>
      <c r="R13" s="12"/>
      <c r="S13" s="12"/>
      <c r="T13" s="12"/>
      <c r="U13" s="12"/>
      <c r="V13" s="12"/>
      <c r="W13" s="12"/>
      <c r="X13" s="12"/>
      <c r="Y13" s="12"/>
      <c r="Z13" s="12"/>
    </row>
    <row r="14" spans="1:26" ht="28.2" thickBot="1" x14ac:dyDescent="0.35">
      <c r="A14" s="15">
        <v>43867</v>
      </c>
      <c r="B14" s="16" t="s">
        <v>263</v>
      </c>
      <c r="C14" s="16" t="s">
        <v>264</v>
      </c>
      <c r="D14" s="16" t="s">
        <v>268</v>
      </c>
      <c r="E14" s="16" t="s">
        <v>269</v>
      </c>
      <c r="F14" s="17">
        <v>28</v>
      </c>
      <c r="G14" s="17">
        <v>3.49</v>
      </c>
      <c r="H14" s="17">
        <v>98</v>
      </c>
      <c r="I14" s="18" t="b">
        <f t="shared" si="0"/>
        <v>1</v>
      </c>
      <c r="J14" s="18" t="b">
        <f t="shared" si="1"/>
        <v>0</v>
      </c>
      <c r="K14" s="12"/>
      <c r="L14" s="12"/>
      <c r="M14" s="18" t="b">
        <v>1</v>
      </c>
      <c r="N14" s="18" t="b">
        <v>0</v>
      </c>
      <c r="O14" s="12"/>
      <c r="P14" s="12"/>
      <c r="Q14" s="12"/>
      <c r="R14" s="12"/>
      <c r="S14" s="12"/>
      <c r="T14" s="12"/>
      <c r="U14" s="12"/>
      <c r="V14" s="12"/>
      <c r="W14" s="12"/>
      <c r="X14" s="12"/>
      <c r="Y14" s="12"/>
      <c r="Z14" s="12"/>
    </row>
    <row r="15" spans="1:26" ht="28.2" thickBot="1" x14ac:dyDescent="0.35">
      <c r="A15" s="15">
        <v>43870</v>
      </c>
      <c r="B15" s="16" t="s">
        <v>270</v>
      </c>
      <c r="C15" s="16" t="s">
        <v>271</v>
      </c>
      <c r="D15" s="16" t="s">
        <v>265</v>
      </c>
      <c r="E15" s="16" t="s">
        <v>266</v>
      </c>
      <c r="F15" s="17">
        <v>44</v>
      </c>
      <c r="G15" s="17">
        <v>1.77</v>
      </c>
      <c r="H15" s="17">
        <v>78</v>
      </c>
      <c r="I15" s="18" t="b">
        <f t="shared" si="0"/>
        <v>0</v>
      </c>
      <c r="J15" s="18" t="b">
        <f t="shared" si="1"/>
        <v>0</v>
      </c>
      <c r="K15" s="12"/>
      <c r="L15" s="12"/>
      <c r="M15" s="18" t="b">
        <v>0</v>
      </c>
      <c r="N15" s="18" t="b">
        <v>0</v>
      </c>
      <c r="O15" s="12"/>
      <c r="P15" s="12"/>
      <c r="Q15" s="12"/>
      <c r="R15" s="12"/>
      <c r="S15" s="12"/>
      <c r="T15" s="12"/>
      <c r="U15" s="12"/>
      <c r="V15" s="12"/>
      <c r="W15" s="12"/>
      <c r="X15" s="12"/>
      <c r="Y15" s="12"/>
      <c r="Z15" s="12"/>
    </row>
    <row r="16" spans="1:26" ht="15" thickBot="1" x14ac:dyDescent="0.35">
      <c r="A16" s="15">
        <v>43873</v>
      </c>
      <c r="B16" s="16" t="s">
        <v>263</v>
      </c>
      <c r="C16" s="16" t="s">
        <v>274</v>
      </c>
      <c r="D16" s="16" t="s">
        <v>265</v>
      </c>
      <c r="E16" s="16" t="s">
        <v>266</v>
      </c>
      <c r="F16" s="17">
        <v>23</v>
      </c>
      <c r="G16" s="17">
        <v>1.77</v>
      </c>
      <c r="H16" s="17">
        <v>41</v>
      </c>
      <c r="I16" s="18" t="b">
        <f t="shared" si="0"/>
        <v>0</v>
      </c>
      <c r="J16" s="18" t="b">
        <f t="shared" si="1"/>
        <v>0</v>
      </c>
      <c r="K16" s="12"/>
      <c r="L16" s="12"/>
      <c r="M16" s="18" t="b">
        <v>0</v>
      </c>
      <c r="N16" s="18" t="b">
        <v>0</v>
      </c>
      <c r="O16" s="12"/>
      <c r="P16" s="12"/>
      <c r="Q16" s="12"/>
      <c r="R16" s="12"/>
      <c r="S16" s="12"/>
      <c r="T16" s="12"/>
      <c r="U16" s="12"/>
      <c r="V16" s="12"/>
      <c r="W16" s="12"/>
      <c r="X16" s="12"/>
      <c r="Y16" s="12"/>
      <c r="Z16" s="12"/>
    </row>
    <row r="17" spans="1:26" ht="28.2" thickBot="1" x14ac:dyDescent="0.35">
      <c r="A17" s="15">
        <v>43876</v>
      </c>
      <c r="B17" s="16" t="s">
        <v>263</v>
      </c>
      <c r="C17" s="16" t="s">
        <v>274</v>
      </c>
      <c r="D17" s="16" t="s">
        <v>278</v>
      </c>
      <c r="E17" s="16" t="s">
        <v>279</v>
      </c>
      <c r="F17" s="17">
        <v>27</v>
      </c>
      <c r="G17" s="17">
        <v>1.35</v>
      </c>
      <c r="H17" s="17">
        <v>36</v>
      </c>
      <c r="I17" s="18" t="b">
        <f t="shared" si="0"/>
        <v>0</v>
      </c>
      <c r="J17" s="18" t="b">
        <f t="shared" si="1"/>
        <v>0</v>
      </c>
      <c r="K17" s="12"/>
      <c r="L17" s="12"/>
      <c r="M17" s="18" t="b">
        <v>0</v>
      </c>
      <c r="N17" s="18" t="b">
        <v>0</v>
      </c>
      <c r="O17" s="12"/>
      <c r="P17" s="12"/>
      <c r="Q17" s="12"/>
      <c r="R17" s="12"/>
      <c r="S17" s="12"/>
      <c r="T17" s="12"/>
      <c r="U17" s="12"/>
      <c r="V17" s="12"/>
      <c r="W17" s="12"/>
      <c r="X17" s="12"/>
      <c r="Y17" s="12"/>
      <c r="Z17" s="12"/>
    </row>
    <row r="18" spans="1:26" ht="28.2" thickBot="1" x14ac:dyDescent="0.35">
      <c r="A18" s="15">
        <v>43879</v>
      </c>
      <c r="B18" s="16" t="s">
        <v>263</v>
      </c>
      <c r="C18" s="16" t="s">
        <v>264</v>
      </c>
      <c r="D18" s="16" t="s">
        <v>272</v>
      </c>
      <c r="E18" s="16" t="s">
        <v>276</v>
      </c>
      <c r="F18" s="17">
        <v>43</v>
      </c>
      <c r="G18" s="17">
        <v>2.1800000000000002</v>
      </c>
      <c r="H18" s="17">
        <v>94</v>
      </c>
      <c r="I18" s="18" t="b">
        <f t="shared" si="0"/>
        <v>1</v>
      </c>
      <c r="J18" s="18" t="b">
        <f t="shared" si="1"/>
        <v>0</v>
      </c>
      <c r="K18" s="12"/>
      <c r="L18" s="12"/>
      <c r="M18" s="18" t="b">
        <v>1</v>
      </c>
      <c r="N18" s="18" t="b">
        <v>0</v>
      </c>
      <c r="O18" s="12"/>
      <c r="P18" s="12"/>
      <c r="Q18" s="12"/>
      <c r="R18" s="12"/>
      <c r="S18" s="12"/>
      <c r="T18" s="12"/>
      <c r="U18" s="12"/>
      <c r="V18" s="12"/>
      <c r="W18" s="12"/>
      <c r="X18" s="12"/>
      <c r="Y18" s="12"/>
      <c r="Z18" s="12"/>
    </row>
    <row r="19" spans="1:26" ht="28.2" thickBot="1" x14ac:dyDescent="0.35">
      <c r="A19" s="15">
        <v>43882</v>
      </c>
      <c r="B19" s="16" t="s">
        <v>263</v>
      </c>
      <c r="C19" s="16" t="s">
        <v>264</v>
      </c>
      <c r="D19" s="16" t="s">
        <v>272</v>
      </c>
      <c r="E19" s="16" t="s">
        <v>280</v>
      </c>
      <c r="F19" s="17">
        <v>123</v>
      </c>
      <c r="G19" s="17">
        <v>2.84</v>
      </c>
      <c r="H19" s="17">
        <v>349</v>
      </c>
      <c r="I19" s="18" t="b">
        <f t="shared" si="0"/>
        <v>1</v>
      </c>
      <c r="J19" s="18" t="b">
        <f t="shared" si="1"/>
        <v>0</v>
      </c>
      <c r="K19" s="12"/>
      <c r="L19" s="12"/>
      <c r="M19" s="18" t="b">
        <v>1</v>
      </c>
      <c r="N19" s="18" t="b">
        <v>0</v>
      </c>
      <c r="O19" s="12"/>
      <c r="P19" s="12"/>
      <c r="Q19" s="12"/>
      <c r="R19" s="12"/>
      <c r="S19" s="12"/>
      <c r="T19" s="12"/>
      <c r="U19" s="12"/>
      <c r="V19" s="12"/>
      <c r="W19" s="12"/>
      <c r="X19" s="12"/>
      <c r="Y19" s="12"/>
      <c r="Z19" s="12"/>
    </row>
    <row r="20" spans="1:26" ht="28.2" thickBot="1" x14ac:dyDescent="0.35">
      <c r="A20" s="15">
        <v>43885</v>
      </c>
      <c r="B20" s="16" t="s">
        <v>270</v>
      </c>
      <c r="C20" s="16" t="s">
        <v>271</v>
      </c>
      <c r="D20" s="16" t="s">
        <v>265</v>
      </c>
      <c r="E20" s="16" t="s">
        <v>281</v>
      </c>
      <c r="F20" s="17">
        <v>42</v>
      </c>
      <c r="G20" s="17">
        <v>1.87</v>
      </c>
      <c r="H20" s="17">
        <v>79</v>
      </c>
      <c r="I20" s="18" t="b">
        <f t="shared" si="0"/>
        <v>0</v>
      </c>
      <c r="J20" s="18" t="b">
        <f t="shared" si="1"/>
        <v>0</v>
      </c>
      <c r="K20" s="12"/>
      <c r="L20" s="12"/>
      <c r="M20" s="18" t="b">
        <v>0</v>
      </c>
      <c r="N20" s="18" t="b">
        <v>0</v>
      </c>
      <c r="O20" s="12"/>
      <c r="P20" s="12"/>
      <c r="Q20" s="12"/>
      <c r="R20" s="12"/>
      <c r="S20" s="12"/>
      <c r="T20" s="12"/>
      <c r="U20" s="12"/>
      <c r="V20" s="12"/>
      <c r="W20" s="12"/>
      <c r="X20" s="12"/>
      <c r="Y20" s="12"/>
      <c r="Z20" s="12"/>
    </row>
    <row r="21" spans="1:26" ht="28.2" thickBot="1" x14ac:dyDescent="0.35">
      <c r="A21" s="15">
        <v>43888</v>
      </c>
      <c r="B21" s="16" t="s">
        <v>270</v>
      </c>
      <c r="C21" s="16" t="s">
        <v>271</v>
      </c>
      <c r="D21" s="16" t="s">
        <v>272</v>
      </c>
      <c r="E21" s="16" t="s">
        <v>280</v>
      </c>
      <c r="F21" s="17">
        <v>33</v>
      </c>
      <c r="G21" s="17">
        <v>2.84</v>
      </c>
      <c r="H21" s="17">
        <v>94</v>
      </c>
      <c r="I21" s="18" t="b">
        <f t="shared" si="0"/>
        <v>0</v>
      </c>
      <c r="J21" s="18" t="b">
        <f t="shared" si="1"/>
        <v>0</v>
      </c>
      <c r="K21" s="12"/>
      <c r="L21" s="12"/>
      <c r="M21" s="18" t="b">
        <v>0</v>
      </c>
      <c r="N21" s="18" t="b">
        <v>0</v>
      </c>
      <c r="O21" s="12"/>
      <c r="P21" s="12"/>
      <c r="Q21" s="12"/>
      <c r="R21" s="12"/>
      <c r="S21" s="12"/>
      <c r="T21" s="12"/>
      <c r="U21" s="12"/>
      <c r="V21" s="12"/>
      <c r="W21" s="12"/>
      <c r="X21" s="12"/>
      <c r="Y21" s="12"/>
      <c r="Z21" s="12"/>
    </row>
    <row r="22" spans="1:26" ht="28.2" thickBot="1" x14ac:dyDescent="0.35">
      <c r="A22" s="15">
        <v>43892</v>
      </c>
      <c r="B22" s="16" t="s">
        <v>263</v>
      </c>
      <c r="C22" s="16" t="s">
        <v>274</v>
      </c>
      <c r="D22" s="16" t="s">
        <v>272</v>
      </c>
      <c r="E22" s="16" t="s">
        <v>273</v>
      </c>
      <c r="F22" s="17">
        <v>85</v>
      </c>
      <c r="G22" s="17">
        <v>1.87</v>
      </c>
      <c r="H22" s="17">
        <v>159</v>
      </c>
      <c r="I22" s="18" t="b">
        <f t="shared" si="0"/>
        <v>1</v>
      </c>
      <c r="J22" s="18" t="b">
        <f t="shared" si="1"/>
        <v>0</v>
      </c>
      <c r="K22" s="12"/>
      <c r="L22" s="12"/>
      <c r="M22" s="18" t="b">
        <v>1</v>
      </c>
      <c r="N22" s="18" t="b">
        <v>0</v>
      </c>
      <c r="O22" s="12"/>
      <c r="P22" s="12"/>
      <c r="Q22" s="12"/>
      <c r="R22" s="12"/>
      <c r="S22" s="12"/>
      <c r="T22" s="12"/>
      <c r="U22" s="12"/>
      <c r="V22" s="12"/>
      <c r="W22" s="12"/>
      <c r="X22" s="12"/>
      <c r="Y22" s="12"/>
      <c r="Z22" s="12"/>
    </row>
    <row r="23" spans="1:26" ht="28.2" thickBot="1" x14ac:dyDescent="0.35">
      <c r="A23" s="15">
        <v>43895</v>
      </c>
      <c r="B23" s="16" t="s">
        <v>270</v>
      </c>
      <c r="C23" s="16" t="s">
        <v>282</v>
      </c>
      <c r="D23" s="16" t="s">
        <v>272</v>
      </c>
      <c r="E23" s="16" t="s">
        <v>280</v>
      </c>
      <c r="F23" s="17">
        <v>30</v>
      </c>
      <c r="G23" s="17">
        <v>2.84</v>
      </c>
      <c r="H23" s="17">
        <v>85</v>
      </c>
      <c r="I23" s="18" t="b">
        <f t="shared" si="0"/>
        <v>0</v>
      </c>
      <c r="J23" s="18" t="b">
        <f t="shared" si="1"/>
        <v>0</v>
      </c>
      <c r="K23" s="12"/>
      <c r="L23" s="12"/>
      <c r="M23" s="18" t="b">
        <v>0</v>
      </c>
      <c r="N23" s="18" t="b">
        <v>0</v>
      </c>
      <c r="O23" s="12"/>
      <c r="P23" s="12"/>
      <c r="Q23" s="12"/>
      <c r="R23" s="12"/>
      <c r="S23" s="12"/>
      <c r="T23" s="12"/>
      <c r="U23" s="12"/>
      <c r="V23" s="12"/>
      <c r="W23" s="12"/>
      <c r="X23" s="12"/>
      <c r="Y23" s="12"/>
      <c r="Z23" s="12"/>
    </row>
    <row r="24" spans="1:26" ht="15" thickBot="1" x14ac:dyDescent="0.35">
      <c r="A24" s="15">
        <v>43898</v>
      </c>
      <c r="B24" s="16" t="s">
        <v>263</v>
      </c>
      <c r="C24" s="16" t="s">
        <v>264</v>
      </c>
      <c r="D24" s="16" t="s">
        <v>265</v>
      </c>
      <c r="E24" s="16" t="s">
        <v>266</v>
      </c>
      <c r="F24" s="17">
        <v>61</v>
      </c>
      <c r="G24" s="17">
        <v>1.77</v>
      </c>
      <c r="H24" s="17">
        <v>108</v>
      </c>
      <c r="I24" s="18" t="b">
        <f t="shared" si="0"/>
        <v>1</v>
      </c>
      <c r="J24" s="18" t="b">
        <f t="shared" si="1"/>
        <v>0</v>
      </c>
      <c r="K24" s="12"/>
      <c r="L24" s="12"/>
      <c r="M24" s="18" t="b">
        <v>1</v>
      </c>
      <c r="N24" s="18" t="b">
        <v>0</v>
      </c>
      <c r="O24" s="12"/>
      <c r="P24" s="12"/>
      <c r="Q24" s="12"/>
      <c r="R24" s="12"/>
      <c r="S24" s="12"/>
      <c r="T24" s="12"/>
      <c r="U24" s="12"/>
      <c r="V24" s="12"/>
      <c r="W24" s="12"/>
      <c r="X24" s="12"/>
      <c r="Y24" s="12"/>
      <c r="Z24" s="12"/>
    </row>
    <row r="25" spans="1:26" ht="28.2" thickBot="1" x14ac:dyDescent="0.35">
      <c r="A25" s="15">
        <v>43901</v>
      </c>
      <c r="B25" s="16" t="s">
        <v>263</v>
      </c>
      <c r="C25" s="16" t="s">
        <v>264</v>
      </c>
      <c r="D25" s="16" t="s">
        <v>268</v>
      </c>
      <c r="E25" s="16" t="s">
        <v>269</v>
      </c>
      <c r="F25" s="17">
        <v>40</v>
      </c>
      <c r="G25" s="17">
        <v>3.49</v>
      </c>
      <c r="H25" s="17">
        <v>140</v>
      </c>
      <c r="I25" s="18" t="b">
        <f t="shared" si="0"/>
        <v>1</v>
      </c>
      <c r="J25" s="18" t="b">
        <f t="shared" si="1"/>
        <v>0</v>
      </c>
      <c r="K25" s="12"/>
      <c r="L25" s="12"/>
      <c r="M25" s="18" t="b">
        <v>1</v>
      </c>
      <c r="N25" s="18" t="b">
        <v>0</v>
      </c>
      <c r="O25" s="12"/>
      <c r="P25" s="12"/>
      <c r="Q25" s="12"/>
      <c r="R25" s="12"/>
      <c r="S25" s="12"/>
      <c r="T25" s="12"/>
      <c r="U25" s="12"/>
      <c r="V25" s="12"/>
      <c r="W25" s="12"/>
      <c r="X25" s="12"/>
      <c r="Y25" s="12"/>
      <c r="Z25" s="12"/>
    </row>
    <row r="26" spans="1:26" ht="28.2" thickBot="1" x14ac:dyDescent="0.35">
      <c r="A26" s="15">
        <v>43904</v>
      </c>
      <c r="B26" s="16" t="s">
        <v>270</v>
      </c>
      <c r="C26" s="16" t="s">
        <v>271</v>
      </c>
      <c r="D26" s="16" t="s">
        <v>272</v>
      </c>
      <c r="E26" s="16" t="s">
        <v>273</v>
      </c>
      <c r="F26" s="17">
        <v>86</v>
      </c>
      <c r="G26" s="17">
        <v>1.87</v>
      </c>
      <c r="H26" s="17">
        <v>161</v>
      </c>
      <c r="I26" s="18" t="b">
        <f t="shared" si="0"/>
        <v>1</v>
      </c>
      <c r="J26" s="18" t="b">
        <f t="shared" si="1"/>
        <v>1</v>
      </c>
      <c r="K26" s="12"/>
      <c r="L26" s="12"/>
      <c r="M26" s="18" t="b">
        <v>1</v>
      </c>
      <c r="N26" s="18" t="b">
        <v>1</v>
      </c>
      <c r="O26" s="12"/>
      <c r="P26" s="12"/>
      <c r="Q26" s="12"/>
      <c r="R26" s="12"/>
      <c r="S26" s="12"/>
      <c r="T26" s="12"/>
      <c r="U26" s="12"/>
      <c r="V26" s="12"/>
      <c r="W26" s="12"/>
      <c r="X26" s="12"/>
      <c r="Y26" s="12"/>
      <c r="Z26" s="12"/>
    </row>
    <row r="27" spans="1:26" ht="15" thickBot="1" x14ac:dyDescent="0.35">
      <c r="A27" s="15">
        <v>43907</v>
      </c>
      <c r="B27" s="16" t="s">
        <v>263</v>
      </c>
      <c r="C27" s="16" t="s">
        <v>274</v>
      </c>
      <c r="D27" s="16" t="s">
        <v>265</v>
      </c>
      <c r="E27" s="16" t="s">
        <v>266</v>
      </c>
      <c r="F27" s="17">
        <v>38</v>
      </c>
      <c r="G27" s="17">
        <v>1.77</v>
      </c>
      <c r="H27" s="17">
        <v>67</v>
      </c>
      <c r="I27" s="18" t="b">
        <f t="shared" si="0"/>
        <v>0</v>
      </c>
      <c r="J27" s="18" t="b">
        <f t="shared" si="1"/>
        <v>0</v>
      </c>
      <c r="K27" s="12"/>
      <c r="L27" s="12"/>
      <c r="M27" s="18" t="b">
        <v>0</v>
      </c>
      <c r="N27" s="18" t="b">
        <v>0</v>
      </c>
      <c r="O27" s="12"/>
      <c r="P27" s="12"/>
      <c r="Q27" s="12"/>
      <c r="R27" s="12"/>
      <c r="S27" s="12"/>
      <c r="T27" s="12"/>
      <c r="U27" s="12"/>
      <c r="V27" s="12"/>
      <c r="W27" s="12"/>
      <c r="X27" s="12"/>
      <c r="Y27" s="12"/>
      <c r="Z27" s="12"/>
    </row>
    <row r="28" spans="1:26" ht="28.2" thickBot="1" x14ac:dyDescent="0.35">
      <c r="A28" s="15">
        <v>43910</v>
      </c>
      <c r="B28" s="16" t="s">
        <v>263</v>
      </c>
      <c r="C28" s="16" t="s">
        <v>274</v>
      </c>
      <c r="D28" s="16" t="s">
        <v>278</v>
      </c>
      <c r="E28" s="16" t="s">
        <v>279</v>
      </c>
      <c r="F28" s="17">
        <v>68</v>
      </c>
      <c r="G28" s="17">
        <v>1.68</v>
      </c>
      <c r="H28" s="17">
        <v>114</v>
      </c>
      <c r="I28" s="18" t="b">
        <f t="shared" si="0"/>
        <v>0</v>
      </c>
      <c r="J28" s="18" t="b">
        <f t="shared" si="1"/>
        <v>0</v>
      </c>
      <c r="K28" s="12"/>
      <c r="L28" s="12"/>
      <c r="M28" s="18" t="b">
        <v>0</v>
      </c>
      <c r="N28" s="18" t="b">
        <v>0</v>
      </c>
      <c r="O28" s="12"/>
      <c r="P28" s="12"/>
      <c r="Q28" s="12"/>
      <c r="R28" s="12"/>
      <c r="S28" s="12"/>
      <c r="T28" s="12"/>
      <c r="U28" s="12"/>
      <c r="V28" s="12"/>
      <c r="W28" s="12"/>
      <c r="X28" s="12"/>
      <c r="Y28" s="12"/>
      <c r="Z28" s="12"/>
    </row>
    <row r="29" spans="1:26" ht="28.2" thickBot="1" x14ac:dyDescent="0.35">
      <c r="A29" s="15">
        <v>43913</v>
      </c>
      <c r="B29" s="16" t="s">
        <v>270</v>
      </c>
      <c r="C29" s="16" t="s">
        <v>282</v>
      </c>
      <c r="D29" s="16" t="s">
        <v>272</v>
      </c>
      <c r="E29" s="16" t="s">
        <v>273</v>
      </c>
      <c r="F29" s="17">
        <v>39</v>
      </c>
      <c r="G29" s="17">
        <v>1.87</v>
      </c>
      <c r="H29" s="17">
        <v>73</v>
      </c>
      <c r="I29" s="18" t="b">
        <f t="shared" si="0"/>
        <v>1</v>
      </c>
      <c r="J29" s="18" t="b">
        <f t="shared" si="1"/>
        <v>1</v>
      </c>
      <c r="K29" s="12"/>
      <c r="L29" s="12"/>
      <c r="M29" s="18" t="b">
        <v>1</v>
      </c>
      <c r="N29" s="18" t="b">
        <v>1</v>
      </c>
      <c r="O29" s="12"/>
      <c r="P29" s="12"/>
      <c r="Q29" s="12"/>
      <c r="R29" s="12"/>
      <c r="S29" s="12"/>
      <c r="T29" s="12"/>
      <c r="U29" s="12"/>
      <c r="V29" s="12"/>
      <c r="W29" s="12"/>
      <c r="X29" s="12"/>
      <c r="Y29" s="12"/>
      <c r="Z29" s="12"/>
    </row>
    <row r="30" spans="1:26" ht="15" thickBot="1" x14ac:dyDescent="0.35">
      <c r="A30" s="15">
        <v>43916</v>
      </c>
      <c r="B30" s="16" t="s">
        <v>263</v>
      </c>
      <c r="C30" s="16" t="s">
        <v>264</v>
      </c>
      <c r="D30" s="16" t="s">
        <v>265</v>
      </c>
      <c r="E30" s="16" t="s">
        <v>281</v>
      </c>
      <c r="F30" s="17">
        <v>103</v>
      </c>
      <c r="G30" s="17">
        <v>1.87</v>
      </c>
      <c r="H30" s="17">
        <v>193</v>
      </c>
      <c r="I30" s="18" t="b">
        <f t="shared" si="0"/>
        <v>1</v>
      </c>
      <c r="J30" s="18" t="b">
        <f t="shared" si="1"/>
        <v>0</v>
      </c>
      <c r="K30" s="12"/>
      <c r="L30" s="12"/>
      <c r="M30" s="18" t="b">
        <v>1</v>
      </c>
      <c r="N30" s="18" t="b">
        <v>0</v>
      </c>
      <c r="O30" s="12"/>
      <c r="P30" s="12"/>
      <c r="Q30" s="12"/>
      <c r="R30" s="12"/>
      <c r="S30" s="12"/>
      <c r="T30" s="12"/>
      <c r="U30" s="12"/>
      <c r="V30" s="12"/>
      <c r="W30" s="12"/>
      <c r="X30" s="12"/>
      <c r="Y30" s="12"/>
      <c r="Z30" s="12"/>
    </row>
    <row r="31" spans="1:26" ht="28.2" thickBot="1" x14ac:dyDescent="0.35">
      <c r="A31" s="15">
        <v>43919</v>
      </c>
      <c r="B31" s="16" t="s">
        <v>263</v>
      </c>
      <c r="C31" s="16" t="s">
        <v>264</v>
      </c>
      <c r="D31" s="16" t="s">
        <v>272</v>
      </c>
      <c r="E31" s="16" t="s">
        <v>280</v>
      </c>
      <c r="F31" s="17">
        <v>193</v>
      </c>
      <c r="G31" s="17">
        <v>2.84</v>
      </c>
      <c r="H31" s="17">
        <v>548</v>
      </c>
      <c r="I31" s="18" t="b">
        <f t="shared" si="0"/>
        <v>0</v>
      </c>
      <c r="J31" s="18" t="b">
        <f t="shared" si="1"/>
        <v>1</v>
      </c>
      <c r="K31" s="12"/>
      <c r="L31" s="12"/>
      <c r="M31" s="18" t="b">
        <v>0</v>
      </c>
      <c r="N31" s="18" t="b">
        <v>1</v>
      </c>
      <c r="O31" s="12"/>
      <c r="P31" s="12"/>
      <c r="Q31" s="12"/>
      <c r="R31" s="12"/>
      <c r="S31" s="12"/>
      <c r="T31" s="12"/>
      <c r="U31" s="12"/>
      <c r="V31" s="12"/>
      <c r="W31" s="12"/>
      <c r="X31" s="12"/>
      <c r="Y31" s="12"/>
      <c r="Z31" s="12"/>
    </row>
    <row r="32" spans="1:26" ht="28.2" thickBot="1" x14ac:dyDescent="0.35">
      <c r="A32" s="15">
        <v>43922</v>
      </c>
      <c r="B32" s="16" t="s">
        <v>270</v>
      </c>
      <c r="C32" s="16" t="s">
        <v>271</v>
      </c>
      <c r="D32" s="16" t="s">
        <v>265</v>
      </c>
      <c r="E32" s="16" t="s">
        <v>266</v>
      </c>
      <c r="F32" s="17">
        <v>58</v>
      </c>
      <c r="G32" s="17">
        <v>1.77</v>
      </c>
      <c r="H32" s="17">
        <v>103</v>
      </c>
      <c r="I32" s="18" t="b">
        <f t="shared" si="0"/>
        <v>0</v>
      </c>
      <c r="J32" s="18" t="b">
        <f t="shared" si="1"/>
        <v>0</v>
      </c>
      <c r="K32" s="12"/>
      <c r="L32" s="12"/>
      <c r="M32" s="18" t="b">
        <v>0</v>
      </c>
      <c r="N32" s="18" t="b">
        <v>0</v>
      </c>
      <c r="O32" s="12"/>
      <c r="P32" s="12"/>
      <c r="Q32" s="12"/>
      <c r="R32" s="12"/>
      <c r="S32" s="12"/>
      <c r="T32" s="12"/>
      <c r="U32" s="12"/>
      <c r="V32" s="12"/>
      <c r="W32" s="12"/>
      <c r="X32" s="12"/>
      <c r="Y32" s="12"/>
      <c r="Z32" s="12"/>
    </row>
    <row r="33" spans="1:26" ht="28.2" thickBot="1" x14ac:dyDescent="0.35">
      <c r="A33" s="15">
        <v>43925</v>
      </c>
      <c r="B33" s="16" t="s">
        <v>270</v>
      </c>
      <c r="C33" s="16" t="s">
        <v>271</v>
      </c>
      <c r="D33" s="16" t="s">
        <v>278</v>
      </c>
      <c r="E33" s="16" t="s">
        <v>279</v>
      </c>
      <c r="F33" s="17">
        <v>68</v>
      </c>
      <c r="G33" s="17">
        <v>1.68</v>
      </c>
      <c r="H33" s="17">
        <v>114</v>
      </c>
      <c r="I33" s="18" t="b">
        <f t="shared" si="0"/>
        <v>0</v>
      </c>
      <c r="J33" s="18" t="b">
        <f t="shared" si="1"/>
        <v>0</v>
      </c>
      <c r="K33" s="12"/>
      <c r="L33" s="12"/>
      <c r="M33" s="18" t="b">
        <v>0</v>
      </c>
      <c r="N33" s="18" t="b">
        <v>0</v>
      </c>
      <c r="O33" s="12"/>
      <c r="P33" s="12"/>
      <c r="Q33" s="12"/>
      <c r="R33" s="12"/>
      <c r="S33" s="12"/>
      <c r="T33" s="12"/>
      <c r="U33" s="12"/>
      <c r="V33" s="12"/>
      <c r="W33" s="12"/>
      <c r="X33" s="12"/>
      <c r="Y33" s="12"/>
      <c r="Z33" s="12"/>
    </row>
    <row r="34" spans="1:26" ht="15" thickBot="1" x14ac:dyDescent="0.35">
      <c r="A34" s="15">
        <v>43928</v>
      </c>
      <c r="B34" s="16" t="s">
        <v>263</v>
      </c>
      <c r="C34" s="16" t="s">
        <v>274</v>
      </c>
      <c r="D34" s="16" t="s">
        <v>265</v>
      </c>
      <c r="E34" s="16" t="s">
        <v>266</v>
      </c>
      <c r="F34" s="17">
        <v>91</v>
      </c>
      <c r="G34" s="17">
        <v>1.77</v>
      </c>
      <c r="H34" s="17">
        <v>161</v>
      </c>
      <c r="I34" s="18" t="b">
        <f t="shared" si="0"/>
        <v>0</v>
      </c>
      <c r="J34" s="18" t="b">
        <f t="shared" si="1"/>
        <v>0</v>
      </c>
      <c r="K34" s="12"/>
      <c r="L34" s="12"/>
      <c r="M34" s="18" t="b">
        <v>0</v>
      </c>
      <c r="N34" s="18" t="b">
        <v>0</v>
      </c>
      <c r="O34" s="12"/>
      <c r="P34" s="12"/>
      <c r="Q34" s="12"/>
      <c r="R34" s="12"/>
      <c r="S34" s="12"/>
      <c r="T34" s="12"/>
      <c r="U34" s="12"/>
      <c r="V34" s="12"/>
      <c r="W34" s="12"/>
      <c r="X34" s="12"/>
      <c r="Y34" s="12"/>
      <c r="Z34" s="12"/>
    </row>
    <row r="35" spans="1:26" ht="28.2" thickBot="1" x14ac:dyDescent="0.35">
      <c r="A35" s="15">
        <v>43931</v>
      </c>
      <c r="B35" s="16" t="s">
        <v>263</v>
      </c>
      <c r="C35" s="16" t="s">
        <v>274</v>
      </c>
      <c r="D35" s="16" t="s">
        <v>268</v>
      </c>
      <c r="E35" s="16" t="s">
        <v>269</v>
      </c>
      <c r="F35" s="17">
        <v>23</v>
      </c>
      <c r="G35" s="17">
        <v>3.49</v>
      </c>
      <c r="H35" s="17">
        <v>80</v>
      </c>
      <c r="I35" s="18" t="b">
        <f t="shared" si="0"/>
        <v>0</v>
      </c>
      <c r="J35" s="18" t="b">
        <f t="shared" si="1"/>
        <v>0</v>
      </c>
      <c r="K35" s="12"/>
      <c r="L35" s="12"/>
      <c r="M35" s="18" t="b">
        <v>0</v>
      </c>
      <c r="N35" s="18" t="b">
        <v>0</v>
      </c>
      <c r="O35" s="12"/>
      <c r="P35" s="12"/>
      <c r="Q35" s="12"/>
      <c r="R35" s="12"/>
      <c r="S35" s="12"/>
      <c r="T35" s="12"/>
      <c r="U35" s="12"/>
      <c r="V35" s="12"/>
      <c r="W35" s="12"/>
      <c r="X35" s="12"/>
      <c r="Y35" s="12"/>
      <c r="Z35" s="12"/>
    </row>
    <row r="36" spans="1:26" ht="28.2" thickBot="1" x14ac:dyDescent="0.35">
      <c r="A36" s="15">
        <v>43934</v>
      </c>
      <c r="B36" s="16" t="s">
        <v>270</v>
      </c>
      <c r="C36" s="16" t="s">
        <v>282</v>
      </c>
      <c r="D36" s="16" t="s">
        <v>278</v>
      </c>
      <c r="E36" s="16" t="s">
        <v>279</v>
      </c>
      <c r="F36" s="17">
        <v>28</v>
      </c>
      <c r="G36" s="17">
        <v>1.68</v>
      </c>
      <c r="H36" s="17">
        <v>47</v>
      </c>
      <c r="I36" s="18" t="b">
        <f t="shared" si="0"/>
        <v>0</v>
      </c>
      <c r="J36" s="18" t="b">
        <f t="shared" si="1"/>
        <v>0</v>
      </c>
      <c r="K36" s="12"/>
      <c r="L36" s="12"/>
      <c r="M36" s="18" t="b">
        <v>0</v>
      </c>
      <c r="N36" s="18" t="b">
        <v>0</v>
      </c>
      <c r="O36" s="12"/>
      <c r="P36" s="12"/>
      <c r="Q36" s="12"/>
      <c r="R36" s="12"/>
      <c r="S36" s="12"/>
      <c r="T36" s="12"/>
      <c r="U36" s="12"/>
      <c r="V36" s="12"/>
      <c r="W36" s="12"/>
      <c r="X36" s="12"/>
      <c r="Y36" s="12"/>
      <c r="Z36" s="12"/>
    </row>
    <row r="37" spans="1:26" ht="15" thickBot="1" x14ac:dyDescent="0.35">
      <c r="A37" s="15">
        <v>43937</v>
      </c>
      <c r="B37" s="16" t="s">
        <v>263</v>
      </c>
      <c r="C37" s="16" t="s">
        <v>264</v>
      </c>
      <c r="D37" s="16" t="s">
        <v>265</v>
      </c>
      <c r="E37" s="16" t="s">
        <v>266</v>
      </c>
      <c r="F37" s="17">
        <v>48</v>
      </c>
      <c r="G37" s="17">
        <v>1.77</v>
      </c>
      <c r="H37" s="17">
        <v>85</v>
      </c>
      <c r="I37" s="18" t="b">
        <f t="shared" si="0"/>
        <v>1</v>
      </c>
      <c r="J37" s="18" t="b">
        <f t="shared" si="1"/>
        <v>0</v>
      </c>
      <c r="K37" s="12"/>
      <c r="L37" s="12"/>
      <c r="M37" s="18" t="b">
        <v>1</v>
      </c>
      <c r="N37" s="18" t="b">
        <v>0</v>
      </c>
      <c r="O37" s="12"/>
      <c r="P37" s="12"/>
      <c r="Q37" s="12"/>
      <c r="R37" s="12"/>
      <c r="S37" s="12"/>
      <c r="T37" s="12"/>
      <c r="U37" s="12"/>
      <c r="V37" s="12"/>
      <c r="W37" s="12"/>
      <c r="X37" s="12"/>
      <c r="Y37" s="12"/>
      <c r="Z37" s="12"/>
    </row>
    <row r="38" spans="1:26" ht="28.2" thickBot="1" x14ac:dyDescent="0.35">
      <c r="A38" s="15">
        <v>43940</v>
      </c>
      <c r="B38" s="16" t="s">
        <v>263</v>
      </c>
      <c r="C38" s="16" t="s">
        <v>264</v>
      </c>
      <c r="D38" s="16" t="s">
        <v>278</v>
      </c>
      <c r="E38" s="16" t="s">
        <v>279</v>
      </c>
      <c r="F38" s="17">
        <v>134</v>
      </c>
      <c r="G38" s="17">
        <v>1.68</v>
      </c>
      <c r="H38" s="17">
        <v>225</v>
      </c>
      <c r="I38" s="18" t="b">
        <f t="shared" si="0"/>
        <v>1</v>
      </c>
      <c r="J38" s="18" t="b">
        <f t="shared" si="1"/>
        <v>0</v>
      </c>
      <c r="K38" s="12"/>
      <c r="L38" s="12"/>
      <c r="M38" s="18" t="b">
        <v>1</v>
      </c>
      <c r="N38" s="18" t="b">
        <v>0</v>
      </c>
      <c r="O38" s="12"/>
      <c r="P38" s="12"/>
      <c r="Q38" s="12"/>
      <c r="R38" s="12"/>
      <c r="S38" s="12"/>
      <c r="T38" s="12"/>
      <c r="U38" s="12"/>
      <c r="V38" s="12"/>
      <c r="W38" s="12"/>
      <c r="X38" s="12"/>
      <c r="Y38" s="12"/>
      <c r="Z38" s="12"/>
    </row>
    <row r="39" spans="1:26" ht="28.2" thickBot="1" x14ac:dyDescent="0.35">
      <c r="A39" s="15">
        <v>43943</v>
      </c>
      <c r="B39" s="16" t="s">
        <v>270</v>
      </c>
      <c r="C39" s="16" t="s">
        <v>271</v>
      </c>
      <c r="D39" s="16" t="s">
        <v>265</v>
      </c>
      <c r="E39" s="16" t="s">
        <v>266</v>
      </c>
      <c r="F39" s="17">
        <v>20</v>
      </c>
      <c r="G39" s="17">
        <v>1.77</v>
      </c>
      <c r="H39" s="17">
        <v>35</v>
      </c>
      <c r="I39" s="18" t="b">
        <f t="shared" si="0"/>
        <v>0</v>
      </c>
      <c r="J39" s="18" t="b">
        <f t="shared" si="1"/>
        <v>0</v>
      </c>
      <c r="K39" s="12"/>
      <c r="L39" s="12"/>
      <c r="M39" s="18" t="b">
        <v>0</v>
      </c>
      <c r="N39" s="18" t="b">
        <v>0</v>
      </c>
      <c r="O39" s="12"/>
      <c r="P39" s="12"/>
      <c r="Q39" s="12"/>
      <c r="R39" s="12"/>
      <c r="S39" s="12"/>
      <c r="T39" s="12"/>
      <c r="U39" s="12"/>
      <c r="V39" s="12"/>
      <c r="W39" s="12"/>
      <c r="X39" s="12"/>
      <c r="Y39" s="12"/>
      <c r="Z39" s="12"/>
    </row>
    <row r="40" spans="1:26" ht="15" thickBot="1" x14ac:dyDescent="0.35">
      <c r="A40" s="15">
        <v>43946</v>
      </c>
      <c r="B40" s="16" t="s">
        <v>263</v>
      </c>
      <c r="C40" s="16" t="s">
        <v>274</v>
      </c>
      <c r="D40" s="16" t="s">
        <v>265</v>
      </c>
      <c r="E40" s="16" t="s">
        <v>266</v>
      </c>
      <c r="F40" s="17">
        <v>53</v>
      </c>
      <c r="G40" s="17">
        <v>1.77</v>
      </c>
      <c r="H40" s="17">
        <v>94</v>
      </c>
      <c r="I40" s="18" t="b">
        <f t="shared" si="0"/>
        <v>0</v>
      </c>
      <c r="J40" s="18" t="b">
        <f t="shared" si="1"/>
        <v>0</v>
      </c>
      <c r="K40" s="12"/>
      <c r="L40" s="12"/>
      <c r="M40" s="18" t="b">
        <v>0</v>
      </c>
      <c r="N40" s="18" t="b">
        <v>0</v>
      </c>
      <c r="O40" s="12"/>
      <c r="P40" s="12"/>
      <c r="Q40" s="12"/>
      <c r="R40" s="12"/>
      <c r="S40" s="12"/>
      <c r="T40" s="12"/>
      <c r="U40" s="12"/>
      <c r="V40" s="12"/>
      <c r="W40" s="12"/>
      <c r="X40" s="12"/>
      <c r="Y40" s="12"/>
      <c r="Z40" s="12"/>
    </row>
    <row r="41" spans="1:26" ht="28.2" thickBot="1" x14ac:dyDescent="0.35">
      <c r="A41" s="15">
        <v>43949</v>
      </c>
      <c r="B41" s="16" t="s">
        <v>263</v>
      </c>
      <c r="C41" s="16" t="s">
        <v>274</v>
      </c>
      <c r="D41" s="16" t="s">
        <v>278</v>
      </c>
      <c r="E41" s="16" t="s">
        <v>279</v>
      </c>
      <c r="F41" s="17">
        <v>64</v>
      </c>
      <c r="G41" s="17">
        <v>1.68</v>
      </c>
      <c r="H41" s="17">
        <v>108</v>
      </c>
      <c r="I41" s="18" t="b">
        <f t="shared" si="0"/>
        <v>0</v>
      </c>
      <c r="J41" s="18" t="b">
        <f t="shared" si="1"/>
        <v>0</v>
      </c>
      <c r="K41" s="12"/>
      <c r="L41" s="12"/>
      <c r="M41" s="18" t="b">
        <v>0</v>
      </c>
      <c r="N41" s="18" t="b">
        <v>0</v>
      </c>
      <c r="O41" s="12"/>
      <c r="P41" s="12"/>
      <c r="Q41" s="12"/>
      <c r="R41" s="12"/>
      <c r="S41" s="12"/>
      <c r="T41" s="12"/>
      <c r="U41" s="12"/>
      <c r="V41" s="12"/>
      <c r="W41" s="12"/>
      <c r="X41" s="12"/>
      <c r="Y41" s="12"/>
      <c r="Z41" s="12"/>
    </row>
    <row r="42" spans="1:26" ht="28.2" thickBot="1" x14ac:dyDescent="0.35">
      <c r="A42" s="15">
        <v>43952</v>
      </c>
      <c r="B42" s="16" t="s">
        <v>270</v>
      </c>
      <c r="C42" s="16" t="s">
        <v>282</v>
      </c>
      <c r="D42" s="16" t="s">
        <v>272</v>
      </c>
      <c r="E42" s="16" t="s">
        <v>273</v>
      </c>
      <c r="F42" s="17">
        <v>63</v>
      </c>
      <c r="G42" s="17">
        <v>1.87</v>
      </c>
      <c r="H42" s="17">
        <v>118</v>
      </c>
      <c r="I42" s="18" t="b">
        <f t="shared" si="0"/>
        <v>1</v>
      </c>
      <c r="J42" s="18" t="b">
        <f t="shared" si="1"/>
        <v>1</v>
      </c>
      <c r="K42" s="12"/>
      <c r="L42" s="12"/>
      <c r="M42" s="18" t="b">
        <v>1</v>
      </c>
      <c r="N42" s="18" t="b">
        <v>1</v>
      </c>
      <c r="O42" s="12"/>
      <c r="P42" s="12"/>
      <c r="Q42" s="12"/>
      <c r="R42" s="12"/>
      <c r="S42" s="12"/>
      <c r="T42" s="12"/>
      <c r="U42" s="12"/>
      <c r="V42" s="12"/>
      <c r="W42" s="12"/>
      <c r="X42" s="12"/>
      <c r="Y42" s="12"/>
      <c r="Z42" s="12"/>
    </row>
    <row r="43" spans="1:26" ht="15" thickBot="1" x14ac:dyDescent="0.35">
      <c r="A43" s="15">
        <v>43955</v>
      </c>
      <c r="B43" s="16" t="s">
        <v>263</v>
      </c>
      <c r="C43" s="16" t="s">
        <v>264</v>
      </c>
      <c r="D43" s="16" t="s">
        <v>265</v>
      </c>
      <c r="E43" s="16" t="s">
        <v>281</v>
      </c>
      <c r="F43" s="17">
        <v>105</v>
      </c>
      <c r="G43" s="17">
        <v>1.87</v>
      </c>
      <c r="H43" s="17">
        <v>196</v>
      </c>
      <c r="I43" s="18" t="b">
        <f t="shared" si="0"/>
        <v>1</v>
      </c>
      <c r="J43" s="18" t="b">
        <f t="shared" si="1"/>
        <v>0</v>
      </c>
      <c r="K43" s="12"/>
      <c r="L43" s="12"/>
      <c r="M43" s="18" t="b">
        <v>1</v>
      </c>
      <c r="N43" s="18" t="b">
        <v>0</v>
      </c>
      <c r="O43" s="12"/>
      <c r="P43" s="12"/>
      <c r="Q43" s="12"/>
      <c r="R43" s="12"/>
      <c r="S43" s="12"/>
      <c r="T43" s="12"/>
      <c r="U43" s="12"/>
      <c r="V43" s="12"/>
      <c r="W43" s="12"/>
      <c r="X43" s="12"/>
      <c r="Y43" s="12"/>
      <c r="Z43" s="12"/>
    </row>
    <row r="44" spans="1:26" ht="28.2" thickBot="1" x14ac:dyDescent="0.35">
      <c r="A44" s="15">
        <v>43958</v>
      </c>
      <c r="B44" s="16" t="s">
        <v>263</v>
      </c>
      <c r="C44" s="16" t="s">
        <v>264</v>
      </c>
      <c r="D44" s="16" t="s">
        <v>272</v>
      </c>
      <c r="E44" s="16" t="s">
        <v>280</v>
      </c>
      <c r="F44" s="17">
        <v>138</v>
      </c>
      <c r="G44" s="17">
        <v>2.84</v>
      </c>
      <c r="H44" s="17">
        <v>392</v>
      </c>
      <c r="I44" s="18" t="b">
        <f t="shared" si="0"/>
        <v>1</v>
      </c>
      <c r="J44" s="18" t="b">
        <f t="shared" si="1"/>
        <v>0</v>
      </c>
      <c r="K44" s="12"/>
      <c r="L44" s="12"/>
      <c r="M44" s="18" t="b">
        <v>1</v>
      </c>
      <c r="N44" s="18" t="b">
        <v>0</v>
      </c>
      <c r="O44" s="12"/>
      <c r="P44" s="12"/>
      <c r="Q44" s="12"/>
      <c r="R44" s="12"/>
      <c r="S44" s="12"/>
      <c r="T44" s="12"/>
      <c r="U44" s="12"/>
      <c r="V44" s="12"/>
      <c r="W44" s="12"/>
      <c r="X44" s="12"/>
      <c r="Y44" s="12"/>
      <c r="Z44" s="12"/>
    </row>
    <row r="45" spans="1:26" ht="28.2" thickBot="1" x14ac:dyDescent="0.35">
      <c r="A45" s="15">
        <v>43961</v>
      </c>
      <c r="B45" s="16" t="s">
        <v>270</v>
      </c>
      <c r="C45" s="16" t="s">
        <v>271</v>
      </c>
      <c r="D45" s="16" t="s">
        <v>265</v>
      </c>
      <c r="E45" s="16" t="s">
        <v>266</v>
      </c>
      <c r="F45" s="17">
        <v>25</v>
      </c>
      <c r="G45" s="17">
        <v>1.77</v>
      </c>
      <c r="H45" s="17">
        <v>44</v>
      </c>
      <c r="I45" s="18" t="b">
        <f t="shared" si="0"/>
        <v>0</v>
      </c>
      <c r="J45" s="18" t="b">
        <f t="shared" si="1"/>
        <v>0</v>
      </c>
      <c r="K45" s="12"/>
      <c r="L45" s="12"/>
      <c r="M45" s="18" t="b">
        <v>0</v>
      </c>
      <c r="N45" s="18" t="b">
        <v>0</v>
      </c>
      <c r="O45" s="12"/>
      <c r="P45" s="12"/>
      <c r="Q45" s="12"/>
      <c r="R45" s="12"/>
      <c r="S45" s="12"/>
      <c r="T45" s="12"/>
      <c r="U45" s="12"/>
      <c r="V45" s="12"/>
      <c r="W45" s="12"/>
      <c r="X45" s="12"/>
      <c r="Y45" s="12"/>
      <c r="Z45" s="12"/>
    </row>
    <row r="46" spans="1:26" ht="28.2" thickBot="1" x14ac:dyDescent="0.35">
      <c r="A46" s="15">
        <v>43964</v>
      </c>
      <c r="B46" s="16" t="s">
        <v>270</v>
      </c>
      <c r="C46" s="16" t="s">
        <v>271</v>
      </c>
      <c r="D46" s="16" t="s">
        <v>268</v>
      </c>
      <c r="E46" s="16" t="s">
        <v>269</v>
      </c>
      <c r="F46" s="17">
        <v>21</v>
      </c>
      <c r="G46" s="17">
        <v>3.49</v>
      </c>
      <c r="H46" s="17">
        <v>73</v>
      </c>
      <c r="I46" s="18" t="b">
        <f t="shared" si="0"/>
        <v>0</v>
      </c>
      <c r="J46" s="18" t="b">
        <f t="shared" si="1"/>
        <v>0</v>
      </c>
      <c r="K46" s="12"/>
      <c r="L46" s="12"/>
      <c r="M46" s="18" t="b">
        <v>0</v>
      </c>
      <c r="N46" s="18" t="b">
        <v>0</v>
      </c>
      <c r="O46" s="12"/>
      <c r="P46" s="12"/>
      <c r="Q46" s="12"/>
      <c r="R46" s="12"/>
      <c r="S46" s="12"/>
      <c r="T46" s="12"/>
      <c r="U46" s="12"/>
      <c r="V46" s="12"/>
      <c r="W46" s="12"/>
      <c r="X46" s="12"/>
      <c r="Y46" s="12"/>
      <c r="Z46" s="12"/>
    </row>
    <row r="47" spans="1:26" ht="15" thickBot="1" x14ac:dyDescent="0.35">
      <c r="A47" s="15">
        <v>43967</v>
      </c>
      <c r="B47" s="16" t="s">
        <v>263</v>
      </c>
      <c r="C47" s="16" t="s">
        <v>274</v>
      </c>
      <c r="D47" s="16" t="s">
        <v>265</v>
      </c>
      <c r="E47" s="16" t="s">
        <v>266</v>
      </c>
      <c r="F47" s="17">
        <v>61</v>
      </c>
      <c r="G47" s="17">
        <v>1.77</v>
      </c>
      <c r="H47" s="17">
        <v>108</v>
      </c>
      <c r="I47" s="18" t="b">
        <f t="shared" si="0"/>
        <v>0</v>
      </c>
      <c r="J47" s="18" t="b">
        <f t="shared" si="1"/>
        <v>0</v>
      </c>
      <c r="K47" s="12"/>
      <c r="L47" s="12"/>
      <c r="M47" s="18" t="b">
        <v>0</v>
      </c>
      <c r="N47" s="18" t="b">
        <v>0</v>
      </c>
      <c r="O47" s="12"/>
      <c r="P47" s="12"/>
      <c r="Q47" s="12"/>
      <c r="R47" s="12"/>
      <c r="S47" s="12"/>
      <c r="T47" s="12"/>
      <c r="U47" s="12"/>
      <c r="V47" s="12"/>
      <c r="W47" s="12"/>
      <c r="X47" s="12"/>
      <c r="Y47" s="12"/>
      <c r="Z47" s="12"/>
    </row>
    <row r="48" spans="1:26" ht="28.2" thickBot="1" x14ac:dyDescent="0.35">
      <c r="A48" s="15">
        <v>43970</v>
      </c>
      <c r="B48" s="16" t="s">
        <v>263</v>
      </c>
      <c r="C48" s="16" t="s">
        <v>274</v>
      </c>
      <c r="D48" s="16" t="s">
        <v>278</v>
      </c>
      <c r="E48" s="16" t="s">
        <v>279</v>
      </c>
      <c r="F48" s="17">
        <v>49</v>
      </c>
      <c r="G48" s="17">
        <v>1.68</v>
      </c>
      <c r="H48" s="17">
        <v>82</v>
      </c>
      <c r="I48" s="18" t="b">
        <f t="shared" si="0"/>
        <v>0</v>
      </c>
      <c r="J48" s="18" t="b">
        <f t="shared" si="1"/>
        <v>0</v>
      </c>
      <c r="K48" s="12"/>
      <c r="L48" s="12"/>
      <c r="M48" s="18" t="b">
        <v>0</v>
      </c>
      <c r="N48" s="18" t="b">
        <v>0</v>
      </c>
      <c r="O48" s="12"/>
      <c r="P48" s="12"/>
      <c r="Q48" s="12"/>
      <c r="R48" s="12"/>
      <c r="S48" s="12"/>
      <c r="T48" s="12"/>
      <c r="U48" s="12"/>
      <c r="V48" s="12"/>
      <c r="W48" s="12"/>
      <c r="X48" s="12"/>
      <c r="Y48" s="12"/>
      <c r="Z48" s="12"/>
    </row>
    <row r="49" spans="1:26" ht="28.2" thickBot="1" x14ac:dyDescent="0.35">
      <c r="A49" s="15">
        <v>43973</v>
      </c>
      <c r="B49" s="16" t="s">
        <v>270</v>
      </c>
      <c r="C49" s="16" t="s">
        <v>282</v>
      </c>
      <c r="D49" s="16" t="s">
        <v>272</v>
      </c>
      <c r="E49" s="16" t="s">
        <v>273</v>
      </c>
      <c r="F49" s="17">
        <v>55</v>
      </c>
      <c r="G49" s="17">
        <v>1.87</v>
      </c>
      <c r="H49" s="17">
        <v>103</v>
      </c>
      <c r="I49" s="18" t="b">
        <f t="shared" si="0"/>
        <v>1</v>
      </c>
      <c r="J49" s="18" t="b">
        <f t="shared" si="1"/>
        <v>1</v>
      </c>
      <c r="K49" s="12"/>
      <c r="L49" s="12"/>
      <c r="M49" s="18" t="b">
        <v>1</v>
      </c>
      <c r="N49" s="18" t="b">
        <v>1</v>
      </c>
      <c r="O49" s="12"/>
      <c r="P49" s="12"/>
      <c r="Q49" s="12"/>
      <c r="R49" s="12"/>
      <c r="S49" s="12"/>
      <c r="T49" s="12"/>
      <c r="U49" s="12"/>
      <c r="V49" s="12"/>
      <c r="W49" s="12"/>
      <c r="X49" s="12"/>
      <c r="Y49" s="12"/>
      <c r="Z49" s="12"/>
    </row>
    <row r="50" spans="1:26" ht="28.2" thickBot="1" x14ac:dyDescent="0.35">
      <c r="A50" s="15">
        <v>43976</v>
      </c>
      <c r="B50" s="16" t="s">
        <v>263</v>
      </c>
      <c r="C50" s="16" t="s">
        <v>264</v>
      </c>
      <c r="D50" s="16" t="s">
        <v>272</v>
      </c>
      <c r="E50" s="16" t="s">
        <v>276</v>
      </c>
      <c r="F50" s="17">
        <v>27</v>
      </c>
      <c r="G50" s="17">
        <v>2.1800000000000002</v>
      </c>
      <c r="H50" s="17">
        <v>59</v>
      </c>
      <c r="I50" s="18" t="b">
        <f t="shared" si="0"/>
        <v>1</v>
      </c>
      <c r="J50" s="18" t="b">
        <f t="shared" si="1"/>
        <v>0</v>
      </c>
      <c r="K50" s="12"/>
      <c r="L50" s="12"/>
      <c r="M50" s="18" t="b">
        <v>1</v>
      </c>
      <c r="N50" s="18" t="b">
        <v>0</v>
      </c>
      <c r="O50" s="12"/>
      <c r="P50" s="12"/>
      <c r="Q50" s="12"/>
      <c r="R50" s="12"/>
      <c r="S50" s="12"/>
      <c r="T50" s="12"/>
      <c r="U50" s="12"/>
      <c r="V50" s="12"/>
      <c r="W50" s="12"/>
      <c r="X50" s="12"/>
      <c r="Y50" s="12"/>
      <c r="Z50" s="12"/>
    </row>
    <row r="51" spans="1:26" ht="15" thickBot="1" x14ac:dyDescent="0.35">
      <c r="A51" s="15">
        <v>43979</v>
      </c>
      <c r="B51" s="16" t="s">
        <v>263</v>
      </c>
      <c r="C51" s="16" t="s">
        <v>264</v>
      </c>
      <c r="D51" s="16" t="s">
        <v>265</v>
      </c>
      <c r="E51" s="16" t="s">
        <v>266</v>
      </c>
      <c r="F51" s="17">
        <v>58</v>
      </c>
      <c r="G51" s="17">
        <v>1.77</v>
      </c>
      <c r="H51" s="17">
        <v>103</v>
      </c>
      <c r="I51" s="18" t="b">
        <f t="shared" si="0"/>
        <v>1</v>
      </c>
      <c r="J51" s="18" t="b">
        <f t="shared" si="1"/>
        <v>0</v>
      </c>
      <c r="K51" s="12"/>
      <c r="L51" s="12"/>
      <c r="M51" s="18" t="b">
        <v>1</v>
      </c>
      <c r="N51" s="18" t="b">
        <v>0</v>
      </c>
      <c r="O51" s="12"/>
      <c r="P51" s="12"/>
      <c r="Q51" s="12"/>
      <c r="R51" s="12"/>
      <c r="S51" s="12"/>
      <c r="T51" s="12"/>
      <c r="U51" s="12"/>
      <c r="V51" s="12"/>
      <c r="W51" s="12"/>
      <c r="X51" s="12"/>
      <c r="Y51" s="12"/>
      <c r="Z51" s="12"/>
    </row>
    <row r="52" spans="1:26" ht="28.2" thickBot="1" x14ac:dyDescent="0.35">
      <c r="A52" s="15">
        <v>43982</v>
      </c>
      <c r="B52" s="16" t="s">
        <v>263</v>
      </c>
      <c r="C52" s="16" t="s">
        <v>264</v>
      </c>
      <c r="D52" s="16" t="s">
        <v>268</v>
      </c>
      <c r="E52" s="16" t="s">
        <v>269</v>
      </c>
      <c r="F52" s="17">
        <v>33</v>
      </c>
      <c r="G52" s="17">
        <v>3.49</v>
      </c>
      <c r="H52" s="17">
        <v>115</v>
      </c>
      <c r="I52" s="18" t="b">
        <f t="shared" si="0"/>
        <v>1</v>
      </c>
      <c r="J52" s="18" t="b">
        <f t="shared" si="1"/>
        <v>0</v>
      </c>
      <c r="K52" s="12"/>
      <c r="L52" s="12"/>
      <c r="M52" s="18" t="b">
        <v>1</v>
      </c>
      <c r="N52" s="18" t="b">
        <v>0</v>
      </c>
      <c r="O52" s="12"/>
      <c r="P52" s="12"/>
      <c r="Q52" s="12"/>
      <c r="R52" s="12"/>
      <c r="S52" s="12"/>
      <c r="T52" s="12"/>
      <c r="U52" s="12"/>
      <c r="V52" s="12"/>
      <c r="W52" s="12"/>
      <c r="X52" s="12"/>
      <c r="Y52" s="12"/>
      <c r="Z52" s="12"/>
    </row>
    <row r="53" spans="1:26" ht="28.2" thickBot="1" x14ac:dyDescent="0.35">
      <c r="A53" s="15">
        <v>43985</v>
      </c>
      <c r="B53" s="16" t="s">
        <v>270</v>
      </c>
      <c r="C53" s="16" t="s">
        <v>271</v>
      </c>
      <c r="D53" s="16" t="s">
        <v>272</v>
      </c>
      <c r="E53" s="16" t="s">
        <v>280</v>
      </c>
      <c r="F53" s="17">
        <v>288</v>
      </c>
      <c r="G53" s="17">
        <v>2.84</v>
      </c>
      <c r="H53" s="17">
        <v>818</v>
      </c>
      <c r="I53" s="18" t="b">
        <f t="shared" si="0"/>
        <v>0</v>
      </c>
      <c r="J53" s="18" t="b">
        <f t="shared" si="1"/>
        <v>1</v>
      </c>
      <c r="K53" s="12"/>
      <c r="L53" s="12"/>
      <c r="M53" s="18" t="b">
        <v>0</v>
      </c>
      <c r="N53" s="18" t="b">
        <v>1</v>
      </c>
      <c r="O53" s="12"/>
      <c r="P53" s="12"/>
      <c r="Q53" s="12"/>
      <c r="R53" s="12"/>
      <c r="S53" s="12"/>
      <c r="T53" s="12"/>
      <c r="U53" s="12"/>
      <c r="V53" s="12"/>
      <c r="W53" s="12"/>
      <c r="X53" s="12"/>
      <c r="Y53" s="12"/>
      <c r="Z53" s="12"/>
    </row>
    <row r="54" spans="1:26" ht="28.2" thickBot="1" x14ac:dyDescent="0.35">
      <c r="A54" s="15">
        <v>43988</v>
      </c>
      <c r="B54" s="16" t="s">
        <v>263</v>
      </c>
      <c r="C54" s="16" t="s">
        <v>274</v>
      </c>
      <c r="D54" s="16" t="s">
        <v>272</v>
      </c>
      <c r="E54" s="16" t="s">
        <v>273</v>
      </c>
      <c r="F54" s="17">
        <v>76</v>
      </c>
      <c r="G54" s="17">
        <v>1.87</v>
      </c>
      <c r="H54" s="17">
        <v>142</v>
      </c>
      <c r="I54" s="18" t="b">
        <f t="shared" si="0"/>
        <v>1</v>
      </c>
      <c r="J54" s="18" t="b">
        <f t="shared" si="1"/>
        <v>0</v>
      </c>
      <c r="K54" s="12"/>
      <c r="L54" s="12"/>
      <c r="M54" s="18" t="b">
        <v>1</v>
      </c>
      <c r="N54" s="18" t="b">
        <v>0</v>
      </c>
      <c r="O54" s="12"/>
      <c r="P54" s="12"/>
      <c r="Q54" s="12"/>
      <c r="R54" s="12"/>
      <c r="S54" s="12"/>
      <c r="T54" s="12"/>
      <c r="U54" s="12"/>
      <c r="V54" s="12"/>
      <c r="W54" s="12"/>
      <c r="X54" s="12"/>
      <c r="Y54" s="12"/>
      <c r="Z54" s="12"/>
    </row>
    <row r="55" spans="1:26" ht="15" thickBot="1" x14ac:dyDescent="0.35">
      <c r="A55" s="15">
        <v>43991</v>
      </c>
      <c r="B55" s="16" t="s">
        <v>270</v>
      </c>
      <c r="C55" s="16" t="s">
        <v>282</v>
      </c>
      <c r="D55" s="16" t="s">
        <v>265</v>
      </c>
      <c r="E55" s="16" t="s">
        <v>266</v>
      </c>
      <c r="F55" s="17">
        <v>42</v>
      </c>
      <c r="G55" s="17">
        <v>1.77</v>
      </c>
      <c r="H55" s="17">
        <v>74</v>
      </c>
      <c r="I55" s="18" t="b">
        <f t="shared" si="0"/>
        <v>0</v>
      </c>
      <c r="J55" s="18" t="b">
        <f t="shared" si="1"/>
        <v>0</v>
      </c>
      <c r="K55" s="12"/>
      <c r="L55" s="12"/>
      <c r="M55" s="18" t="b">
        <v>0</v>
      </c>
      <c r="N55" s="18" t="b">
        <v>0</v>
      </c>
      <c r="O55" s="12"/>
      <c r="P55" s="12"/>
      <c r="Q55" s="12"/>
      <c r="R55" s="12"/>
      <c r="S55" s="12"/>
      <c r="T55" s="12"/>
      <c r="U55" s="12"/>
      <c r="V55" s="12"/>
      <c r="W55" s="12"/>
      <c r="X55" s="12"/>
      <c r="Y55" s="12"/>
      <c r="Z55" s="12"/>
    </row>
    <row r="56" spans="1:26" ht="28.2" thickBot="1" x14ac:dyDescent="0.35">
      <c r="A56" s="15">
        <v>43994</v>
      </c>
      <c r="B56" s="16" t="s">
        <v>270</v>
      </c>
      <c r="C56" s="16" t="s">
        <v>282</v>
      </c>
      <c r="D56" s="16" t="s">
        <v>268</v>
      </c>
      <c r="E56" s="16" t="s">
        <v>269</v>
      </c>
      <c r="F56" s="17">
        <v>20</v>
      </c>
      <c r="G56" s="17">
        <v>3.49</v>
      </c>
      <c r="H56" s="17">
        <v>70</v>
      </c>
      <c r="I56" s="18" t="b">
        <f t="shared" si="0"/>
        <v>0</v>
      </c>
      <c r="J56" s="18" t="b">
        <f t="shared" si="1"/>
        <v>0</v>
      </c>
      <c r="K56" s="12"/>
      <c r="L56" s="12"/>
      <c r="M56" s="18" t="b">
        <v>0</v>
      </c>
      <c r="N56" s="18" t="b">
        <v>0</v>
      </c>
      <c r="O56" s="12"/>
      <c r="P56" s="12"/>
      <c r="Q56" s="12"/>
      <c r="R56" s="12"/>
      <c r="S56" s="12"/>
      <c r="T56" s="12"/>
      <c r="U56" s="12"/>
      <c r="V56" s="12"/>
      <c r="W56" s="12"/>
      <c r="X56" s="12"/>
      <c r="Y56" s="12"/>
      <c r="Z56" s="12"/>
    </row>
    <row r="57" spans="1:26" ht="15" thickBot="1" x14ac:dyDescent="0.35">
      <c r="A57" s="15">
        <v>43997</v>
      </c>
      <c r="B57" s="16" t="s">
        <v>263</v>
      </c>
      <c r="C57" s="16" t="s">
        <v>264</v>
      </c>
      <c r="D57" s="16" t="s">
        <v>265</v>
      </c>
      <c r="E57" s="16" t="s">
        <v>266</v>
      </c>
      <c r="F57" s="17">
        <v>75</v>
      </c>
      <c r="G57" s="17">
        <v>1.77</v>
      </c>
      <c r="H57" s="17">
        <v>133</v>
      </c>
      <c r="I57" s="18" t="b">
        <f t="shared" si="0"/>
        <v>1</v>
      </c>
      <c r="J57" s="18" t="b">
        <f t="shared" si="1"/>
        <v>0</v>
      </c>
      <c r="K57" s="12"/>
      <c r="L57" s="12"/>
      <c r="M57" s="18" t="b">
        <v>1</v>
      </c>
      <c r="N57" s="18" t="b">
        <v>0</v>
      </c>
      <c r="O57" s="12"/>
      <c r="P57" s="12"/>
      <c r="Q57" s="12"/>
      <c r="R57" s="12"/>
      <c r="S57" s="12"/>
      <c r="T57" s="12"/>
      <c r="U57" s="12"/>
      <c r="V57" s="12"/>
      <c r="W57" s="12"/>
      <c r="X57" s="12"/>
      <c r="Y57" s="12"/>
      <c r="Z57" s="12"/>
    </row>
    <row r="58" spans="1:26" ht="28.2" thickBot="1" x14ac:dyDescent="0.35">
      <c r="A58" s="15">
        <v>44000</v>
      </c>
      <c r="B58" s="16" t="s">
        <v>263</v>
      </c>
      <c r="C58" s="16" t="s">
        <v>264</v>
      </c>
      <c r="D58" s="16" t="s">
        <v>268</v>
      </c>
      <c r="E58" s="16" t="s">
        <v>269</v>
      </c>
      <c r="F58" s="17">
        <v>38</v>
      </c>
      <c r="G58" s="17">
        <v>3.49</v>
      </c>
      <c r="H58" s="17">
        <v>133</v>
      </c>
      <c r="I58" s="18" t="b">
        <f t="shared" si="0"/>
        <v>1</v>
      </c>
      <c r="J58" s="18" t="b">
        <f t="shared" si="1"/>
        <v>0</v>
      </c>
      <c r="K58" s="12"/>
      <c r="L58" s="12"/>
      <c r="M58" s="18" t="b">
        <v>1</v>
      </c>
      <c r="N58" s="18" t="b">
        <v>0</v>
      </c>
      <c r="O58" s="12"/>
      <c r="P58" s="12"/>
      <c r="Q58" s="12"/>
      <c r="R58" s="12"/>
      <c r="S58" s="12"/>
      <c r="T58" s="12"/>
      <c r="U58" s="12"/>
      <c r="V58" s="12"/>
      <c r="W58" s="12"/>
      <c r="X58" s="12"/>
      <c r="Y58" s="12"/>
      <c r="Z58" s="12"/>
    </row>
    <row r="59" spans="1:26" ht="28.2" thickBot="1" x14ac:dyDescent="0.35">
      <c r="A59" s="15">
        <v>44003</v>
      </c>
      <c r="B59" s="16" t="s">
        <v>270</v>
      </c>
      <c r="C59" s="16" t="s">
        <v>271</v>
      </c>
      <c r="D59" s="16" t="s">
        <v>265</v>
      </c>
      <c r="E59" s="16" t="s">
        <v>266</v>
      </c>
      <c r="F59" s="17">
        <v>306</v>
      </c>
      <c r="G59" s="17">
        <v>1.77</v>
      </c>
      <c r="H59" s="17">
        <v>542</v>
      </c>
      <c r="I59" s="18" t="b">
        <f t="shared" si="0"/>
        <v>0</v>
      </c>
      <c r="J59" s="18" t="b">
        <f t="shared" si="1"/>
        <v>1</v>
      </c>
      <c r="K59" s="12"/>
      <c r="L59" s="12"/>
      <c r="M59" s="18" t="b">
        <v>0</v>
      </c>
      <c r="N59" s="18" t="b">
        <v>1</v>
      </c>
      <c r="O59" s="12"/>
      <c r="P59" s="12"/>
      <c r="Q59" s="12"/>
      <c r="R59" s="12"/>
      <c r="S59" s="12"/>
      <c r="T59" s="12"/>
      <c r="U59" s="12"/>
      <c r="V59" s="12"/>
      <c r="W59" s="12"/>
      <c r="X59" s="12"/>
      <c r="Y59" s="12"/>
      <c r="Z59" s="12"/>
    </row>
    <row r="60" spans="1:26" ht="28.2" thickBot="1" x14ac:dyDescent="0.35">
      <c r="A60" s="15">
        <v>44006</v>
      </c>
      <c r="B60" s="16" t="s">
        <v>270</v>
      </c>
      <c r="C60" s="16" t="s">
        <v>271</v>
      </c>
      <c r="D60" s="16" t="s">
        <v>278</v>
      </c>
      <c r="E60" s="16" t="s">
        <v>279</v>
      </c>
      <c r="F60" s="17">
        <v>28</v>
      </c>
      <c r="G60" s="17">
        <v>1.68</v>
      </c>
      <c r="H60" s="17">
        <v>47</v>
      </c>
      <c r="I60" s="18" t="b">
        <f t="shared" si="0"/>
        <v>0</v>
      </c>
      <c r="J60" s="18" t="b">
        <f t="shared" si="1"/>
        <v>0</v>
      </c>
      <c r="K60" s="12"/>
      <c r="L60" s="12"/>
      <c r="M60" s="18" t="b">
        <v>0</v>
      </c>
      <c r="N60" s="18" t="b">
        <v>0</v>
      </c>
      <c r="O60" s="12"/>
      <c r="P60" s="12"/>
      <c r="Q60" s="12"/>
      <c r="R60" s="12"/>
      <c r="S60" s="12"/>
      <c r="T60" s="12"/>
      <c r="U60" s="12"/>
      <c r="V60" s="12"/>
      <c r="W60" s="12"/>
      <c r="X60" s="12"/>
      <c r="Y60" s="12"/>
      <c r="Z60" s="12"/>
    </row>
    <row r="61" spans="1:26" ht="15" thickBot="1" x14ac:dyDescent="0.35">
      <c r="A61" s="15">
        <v>44009</v>
      </c>
      <c r="B61" s="16" t="s">
        <v>263</v>
      </c>
      <c r="C61" s="16" t="s">
        <v>274</v>
      </c>
      <c r="D61" s="16" t="s">
        <v>265</v>
      </c>
      <c r="E61" s="16" t="s">
        <v>281</v>
      </c>
      <c r="F61" s="17">
        <v>110</v>
      </c>
      <c r="G61" s="17">
        <v>1.87</v>
      </c>
      <c r="H61" s="17">
        <v>206</v>
      </c>
      <c r="I61" s="18" t="b">
        <f t="shared" si="0"/>
        <v>0</v>
      </c>
      <c r="J61" s="18" t="b">
        <f t="shared" si="1"/>
        <v>0</v>
      </c>
      <c r="K61" s="12"/>
      <c r="L61" s="12"/>
      <c r="M61" s="18" t="b">
        <v>0</v>
      </c>
      <c r="N61" s="18" t="b">
        <v>0</v>
      </c>
      <c r="O61" s="12"/>
      <c r="P61" s="12"/>
      <c r="Q61" s="12"/>
      <c r="R61" s="12"/>
      <c r="S61" s="12"/>
      <c r="T61" s="12"/>
      <c r="U61" s="12"/>
      <c r="V61" s="12"/>
      <c r="W61" s="12"/>
      <c r="X61" s="12"/>
      <c r="Y61" s="12"/>
      <c r="Z61" s="12"/>
    </row>
    <row r="62" spans="1:26" ht="28.2" thickBot="1" x14ac:dyDescent="0.35">
      <c r="A62" s="15">
        <v>44012</v>
      </c>
      <c r="B62" s="16" t="s">
        <v>263</v>
      </c>
      <c r="C62" s="16" t="s">
        <v>274</v>
      </c>
      <c r="D62" s="16" t="s">
        <v>272</v>
      </c>
      <c r="E62" s="16" t="s">
        <v>280</v>
      </c>
      <c r="F62" s="17">
        <v>51</v>
      </c>
      <c r="G62" s="17">
        <v>2.84</v>
      </c>
      <c r="H62" s="17">
        <v>145</v>
      </c>
      <c r="I62" s="18" t="b">
        <f t="shared" si="0"/>
        <v>0</v>
      </c>
      <c r="J62" s="18" t="b">
        <f t="shared" si="1"/>
        <v>0</v>
      </c>
      <c r="K62" s="12"/>
      <c r="L62" s="12"/>
      <c r="M62" s="18" t="b">
        <v>0</v>
      </c>
      <c r="N62" s="18" t="b">
        <v>0</v>
      </c>
      <c r="O62" s="12"/>
      <c r="P62" s="12"/>
      <c r="Q62" s="12"/>
      <c r="R62" s="12"/>
      <c r="S62" s="12"/>
      <c r="T62" s="12"/>
      <c r="U62" s="12"/>
      <c r="V62" s="12"/>
      <c r="W62" s="12"/>
      <c r="X62" s="12"/>
      <c r="Y62" s="12"/>
      <c r="Z62" s="12"/>
    </row>
    <row r="63" spans="1:26" ht="15" thickBot="1" x14ac:dyDescent="0.35">
      <c r="A63" s="15">
        <v>44015</v>
      </c>
      <c r="B63" s="16" t="s">
        <v>270</v>
      </c>
      <c r="C63" s="16" t="s">
        <v>282</v>
      </c>
      <c r="D63" s="16" t="s">
        <v>265</v>
      </c>
      <c r="E63" s="16" t="s">
        <v>266</v>
      </c>
      <c r="F63" s="17">
        <v>52</v>
      </c>
      <c r="G63" s="17">
        <v>1.77</v>
      </c>
      <c r="H63" s="17">
        <v>92</v>
      </c>
      <c r="I63" s="18" t="b">
        <f t="shared" si="0"/>
        <v>0</v>
      </c>
      <c r="J63" s="18" t="b">
        <f t="shared" si="1"/>
        <v>0</v>
      </c>
      <c r="K63" s="12"/>
      <c r="L63" s="12"/>
      <c r="M63" s="18" t="b">
        <v>0</v>
      </c>
      <c r="N63" s="18" t="b">
        <v>0</v>
      </c>
      <c r="O63" s="12"/>
      <c r="P63" s="12"/>
      <c r="Q63" s="12"/>
      <c r="R63" s="12"/>
      <c r="S63" s="12"/>
      <c r="T63" s="12"/>
      <c r="U63" s="12"/>
      <c r="V63" s="12"/>
      <c r="W63" s="12"/>
      <c r="X63" s="12"/>
      <c r="Y63" s="12"/>
      <c r="Z63" s="12"/>
    </row>
    <row r="64" spans="1:26" ht="28.2" thickBot="1" x14ac:dyDescent="0.35">
      <c r="A64" s="15">
        <v>44018</v>
      </c>
      <c r="B64" s="16" t="s">
        <v>270</v>
      </c>
      <c r="C64" s="16" t="s">
        <v>282</v>
      </c>
      <c r="D64" s="16" t="s">
        <v>268</v>
      </c>
      <c r="E64" s="16" t="s">
        <v>269</v>
      </c>
      <c r="F64" s="17">
        <v>28</v>
      </c>
      <c r="G64" s="17">
        <v>3.49</v>
      </c>
      <c r="H64" s="17">
        <v>98</v>
      </c>
      <c r="I64" s="18" t="b">
        <f t="shared" si="0"/>
        <v>0</v>
      </c>
      <c r="J64" s="18" t="b">
        <f t="shared" si="1"/>
        <v>0</v>
      </c>
      <c r="K64" s="12"/>
      <c r="L64" s="12"/>
      <c r="M64" s="18" t="b">
        <v>0</v>
      </c>
      <c r="N64" s="18" t="b">
        <v>0</v>
      </c>
      <c r="O64" s="12"/>
      <c r="P64" s="12"/>
      <c r="Q64" s="12"/>
      <c r="R64" s="12"/>
      <c r="S64" s="12"/>
      <c r="T64" s="12"/>
      <c r="U64" s="12"/>
      <c r="V64" s="12"/>
      <c r="W64" s="12"/>
      <c r="X64" s="12"/>
      <c r="Y64" s="12"/>
      <c r="Z64" s="12"/>
    </row>
    <row r="65" spans="1:26" ht="15" thickBot="1" x14ac:dyDescent="0.35">
      <c r="A65" s="15">
        <v>44021</v>
      </c>
      <c r="B65" s="16" t="s">
        <v>263</v>
      </c>
      <c r="C65" s="16" t="s">
        <v>264</v>
      </c>
      <c r="D65" s="16" t="s">
        <v>265</v>
      </c>
      <c r="E65" s="16" t="s">
        <v>266</v>
      </c>
      <c r="F65" s="17">
        <v>136</v>
      </c>
      <c r="G65" s="17">
        <v>1.77</v>
      </c>
      <c r="H65" s="17">
        <v>241</v>
      </c>
      <c r="I65" s="18" t="b">
        <f t="shared" si="0"/>
        <v>1</v>
      </c>
      <c r="J65" s="18" t="b">
        <f t="shared" si="1"/>
        <v>0</v>
      </c>
      <c r="K65" s="12"/>
      <c r="L65" s="12"/>
      <c r="M65" s="18" t="b">
        <v>1</v>
      </c>
      <c r="N65" s="18" t="b">
        <v>0</v>
      </c>
      <c r="O65" s="12"/>
      <c r="P65" s="12"/>
      <c r="Q65" s="12"/>
      <c r="R65" s="12"/>
      <c r="S65" s="12"/>
      <c r="T65" s="12"/>
      <c r="U65" s="12"/>
      <c r="V65" s="12"/>
      <c r="W65" s="12"/>
      <c r="X65" s="12"/>
      <c r="Y65" s="12"/>
      <c r="Z65" s="12"/>
    </row>
    <row r="66" spans="1:26" ht="28.2" thickBot="1" x14ac:dyDescent="0.35">
      <c r="A66" s="15">
        <v>44024</v>
      </c>
      <c r="B66" s="16" t="s">
        <v>263</v>
      </c>
      <c r="C66" s="16" t="s">
        <v>264</v>
      </c>
      <c r="D66" s="16" t="s">
        <v>268</v>
      </c>
      <c r="E66" s="16" t="s">
        <v>269</v>
      </c>
      <c r="F66" s="17">
        <v>42</v>
      </c>
      <c r="G66" s="17">
        <v>3.49</v>
      </c>
      <c r="H66" s="17">
        <v>147</v>
      </c>
      <c r="I66" s="18" t="b">
        <f t="shared" si="0"/>
        <v>1</v>
      </c>
      <c r="J66" s="18" t="b">
        <f t="shared" si="1"/>
        <v>0</v>
      </c>
      <c r="K66" s="12"/>
      <c r="L66" s="12"/>
      <c r="M66" s="18" t="b">
        <v>1</v>
      </c>
      <c r="N66" s="18" t="b">
        <v>0</v>
      </c>
      <c r="O66" s="12"/>
      <c r="P66" s="12"/>
      <c r="Q66" s="12"/>
      <c r="R66" s="12"/>
      <c r="S66" s="12"/>
      <c r="T66" s="12"/>
      <c r="U66" s="12"/>
      <c r="V66" s="12"/>
      <c r="W66" s="12"/>
      <c r="X66" s="12"/>
      <c r="Y66" s="12"/>
      <c r="Z66" s="12"/>
    </row>
    <row r="67" spans="1:26" ht="28.2" thickBot="1" x14ac:dyDescent="0.35">
      <c r="A67" s="15">
        <v>44027</v>
      </c>
      <c r="B67" s="16" t="s">
        <v>270</v>
      </c>
      <c r="C67" s="16" t="s">
        <v>271</v>
      </c>
      <c r="D67" s="16" t="s">
        <v>272</v>
      </c>
      <c r="E67" s="16" t="s">
        <v>273</v>
      </c>
      <c r="F67" s="17">
        <v>75</v>
      </c>
      <c r="G67" s="17">
        <v>1.87</v>
      </c>
      <c r="H67" s="17">
        <v>140</v>
      </c>
      <c r="I67" s="18" t="b">
        <f t="shared" ref="I67:I130" si="2">AND(OR(AND(B67="East", C67="Boston"), AND(D67="Cookies", E67="Chocolate Chip")), H67&lt;500)</f>
        <v>1</v>
      </c>
      <c r="J67" s="18" t="b">
        <f t="shared" ref="J67:J130" si="3">OR(
   AND(NOT(OR(B67="East", C67="Boston")), D67="Cookies", E67="Chocolate Chip"),
   H67&gt;500
)</f>
        <v>1</v>
      </c>
      <c r="K67" s="12"/>
      <c r="L67" s="12"/>
      <c r="M67" s="18" t="b">
        <v>1</v>
      </c>
      <c r="N67" s="18" t="b">
        <v>1</v>
      </c>
      <c r="O67" s="12"/>
      <c r="P67" s="12"/>
      <c r="Q67" s="12"/>
      <c r="R67" s="12"/>
      <c r="S67" s="12"/>
      <c r="T67" s="12"/>
      <c r="U67" s="12"/>
      <c r="V67" s="12"/>
      <c r="W67" s="12"/>
      <c r="X67" s="12"/>
      <c r="Y67" s="12"/>
      <c r="Z67" s="12"/>
    </row>
    <row r="68" spans="1:26" ht="15" thickBot="1" x14ac:dyDescent="0.35">
      <c r="A68" s="15">
        <v>44030</v>
      </c>
      <c r="B68" s="16" t="s">
        <v>263</v>
      </c>
      <c r="C68" s="16" t="s">
        <v>274</v>
      </c>
      <c r="D68" s="16" t="s">
        <v>265</v>
      </c>
      <c r="E68" s="16" t="s">
        <v>281</v>
      </c>
      <c r="F68" s="17">
        <v>72</v>
      </c>
      <c r="G68" s="17">
        <v>1.87</v>
      </c>
      <c r="H68" s="17">
        <v>135</v>
      </c>
      <c r="I68" s="18" t="b">
        <f t="shared" si="2"/>
        <v>0</v>
      </c>
      <c r="J68" s="18" t="b">
        <f t="shared" si="3"/>
        <v>0</v>
      </c>
      <c r="K68" s="12"/>
      <c r="L68" s="12"/>
      <c r="M68" s="18" t="b">
        <v>0</v>
      </c>
      <c r="N68" s="18" t="b">
        <v>0</v>
      </c>
      <c r="O68" s="12"/>
      <c r="P68" s="12"/>
      <c r="Q68" s="12"/>
      <c r="R68" s="12"/>
      <c r="S68" s="12"/>
      <c r="T68" s="12"/>
      <c r="U68" s="12"/>
      <c r="V68" s="12"/>
      <c r="W68" s="12"/>
      <c r="X68" s="12"/>
      <c r="Y68" s="12"/>
      <c r="Z68" s="12"/>
    </row>
    <row r="69" spans="1:26" ht="28.2" thickBot="1" x14ac:dyDescent="0.35">
      <c r="A69" s="15">
        <v>44033</v>
      </c>
      <c r="B69" s="16" t="s">
        <v>263</v>
      </c>
      <c r="C69" s="16" t="s">
        <v>274</v>
      </c>
      <c r="D69" s="16" t="s">
        <v>272</v>
      </c>
      <c r="E69" s="16" t="s">
        <v>280</v>
      </c>
      <c r="F69" s="17">
        <v>56</v>
      </c>
      <c r="G69" s="17">
        <v>2.84</v>
      </c>
      <c r="H69" s="17">
        <v>159</v>
      </c>
      <c r="I69" s="18" t="b">
        <f t="shared" si="2"/>
        <v>0</v>
      </c>
      <c r="J69" s="18" t="b">
        <f t="shared" si="3"/>
        <v>0</v>
      </c>
      <c r="K69" s="12"/>
      <c r="L69" s="12"/>
      <c r="M69" s="18" t="b">
        <v>0</v>
      </c>
      <c r="N69" s="18" t="b">
        <v>0</v>
      </c>
      <c r="O69" s="12"/>
      <c r="P69" s="12"/>
      <c r="Q69" s="12"/>
      <c r="R69" s="12"/>
      <c r="S69" s="12"/>
      <c r="T69" s="12"/>
      <c r="U69" s="12"/>
      <c r="V69" s="12"/>
      <c r="W69" s="12"/>
      <c r="X69" s="12"/>
      <c r="Y69" s="12"/>
      <c r="Z69" s="12"/>
    </row>
    <row r="70" spans="1:26" ht="15" thickBot="1" x14ac:dyDescent="0.35">
      <c r="A70" s="15">
        <v>44036</v>
      </c>
      <c r="B70" s="16" t="s">
        <v>270</v>
      </c>
      <c r="C70" s="16" t="s">
        <v>282</v>
      </c>
      <c r="D70" s="16" t="s">
        <v>265</v>
      </c>
      <c r="E70" s="16" t="s">
        <v>281</v>
      </c>
      <c r="F70" s="17">
        <v>51</v>
      </c>
      <c r="G70" s="17">
        <v>1.87</v>
      </c>
      <c r="H70" s="17">
        <v>95</v>
      </c>
      <c r="I70" s="18" t="b">
        <f t="shared" si="2"/>
        <v>0</v>
      </c>
      <c r="J70" s="18" t="b">
        <f t="shared" si="3"/>
        <v>0</v>
      </c>
      <c r="K70" s="12"/>
      <c r="L70" s="12"/>
      <c r="M70" s="18" t="b">
        <v>0</v>
      </c>
      <c r="N70" s="18" t="b">
        <v>0</v>
      </c>
      <c r="O70" s="12"/>
      <c r="P70" s="12"/>
      <c r="Q70" s="12"/>
      <c r="R70" s="12"/>
      <c r="S70" s="12"/>
      <c r="T70" s="12"/>
      <c r="U70" s="12"/>
      <c r="V70" s="12"/>
      <c r="W70" s="12"/>
      <c r="X70" s="12"/>
      <c r="Y70" s="12"/>
      <c r="Z70" s="12"/>
    </row>
    <row r="71" spans="1:26" ht="28.2" thickBot="1" x14ac:dyDescent="0.35">
      <c r="A71" s="15">
        <v>44039</v>
      </c>
      <c r="B71" s="16" t="s">
        <v>270</v>
      </c>
      <c r="C71" s="16" t="s">
        <v>282</v>
      </c>
      <c r="D71" s="16" t="s">
        <v>278</v>
      </c>
      <c r="E71" s="16" t="s">
        <v>279</v>
      </c>
      <c r="F71" s="17">
        <v>31</v>
      </c>
      <c r="G71" s="17">
        <v>1.68</v>
      </c>
      <c r="H71" s="17">
        <v>52</v>
      </c>
      <c r="I71" s="18" t="b">
        <f t="shared" si="2"/>
        <v>0</v>
      </c>
      <c r="J71" s="18" t="b">
        <f t="shared" si="3"/>
        <v>0</v>
      </c>
      <c r="K71" s="12"/>
      <c r="L71" s="12"/>
      <c r="M71" s="18" t="b">
        <v>0</v>
      </c>
      <c r="N71" s="18" t="b">
        <v>0</v>
      </c>
      <c r="O71" s="12"/>
      <c r="P71" s="12"/>
      <c r="Q71" s="12"/>
      <c r="R71" s="12"/>
      <c r="S71" s="12"/>
      <c r="T71" s="12"/>
      <c r="U71" s="12"/>
      <c r="V71" s="12"/>
      <c r="W71" s="12"/>
      <c r="X71" s="12"/>
      <c r="Y71" s="12"/>
      <c r="Z71" s="12"/>
    </row>
    <row r="72" spans="1:26" ht="15" thickBot="1" x14ac:dyDescent="0.35">
      <c r="A72" s="15">
        <v>44042</v>
      </c>
      <c r="B72" s="16" t="s">
        <v>263</v>
      </c>
      <c r="C72" s="16" t="s">
        <v>264</v>
      </c>
      <c r="D72" s="16" t="s">
        <v>265</v>
      </c>
      <c r="E72" s="16" t="s">
        <v>281</v>
      </c>
      <c r="F72" s="17">
        <v>56</v>
      </c>
      <c r="G72" s="17">
        <v>1.87</v>
      </c>
      <c r="H72" s="17">
        <v>105</v>
      </c>
      <c r="I72" s="18" t="b">
        <f t="shared" si="2"/>
        <v>1</v>
      </c>
      <c r="J72" s="18" t="b">
        <f t="shared" si="3"/>
        <v>0</v>
      </c>
      <c r="K72" s="12"/>
      <c r="L72" s="12"/>
      <c r="M72" s="18" t="b">
        <v>1</v>
      </c>
      <c r="N72" s="18" t="b">
        <v>0</v>
      </c>
      <c r="O72" s="12"/>
      <c r="P72" s="12"/>
      <c r="Q72" s="12"/>
      <c r="R72" s="12"/>
      <c r="S72" s="12"/>
      <c r="T72" s="12"/>
      <c r="U72" s="12"/>
      <c r="V72" s="12"/>
      <c r="W72" s="12"/>
      <c r="X72" s="12"/>
      <c r="Y72" s="12"/>
      <c r="Z72" s="12"/>
    </row>
    <row r="73" spans="1:26" ht="28.2" thickBot="1" x14ac:dyDescent="0.35">
      <c r="A73" s="15">
        <v>44045</v>
      </c>
      <c r="B73" s="16" t="s">
        <v>263</v>
      </c>
      <c r="C73" s="16" t="s">
        <v>264</v>
      </c>
      <c r="D73" s="16" t="s">
        <v>272</v>
      </c>
      <c r="E73" s="16" t="s">
        <v>280</v>
      </c>
      <c r="F73" s="17">
        <v>137</v>
      </c>
      <c r="G73" s="17">
        <v>2.84</v>
      </c>
      <c r="H73" s="17">
        <v>389</v>
      </c>
      <c r="I73" s="18" t="b">
        <f t="shared" si="2"/>
        <v>1</v>
      </c>
      <c r="J73" s="18" t="b">
        <f t="shared" si="3"/>
        <v>0</v>
      </c>
      <c r="K73" s="12"/>
      <c r="L73" s="12"/>
      <c r="M73" s="18" t="b">
        <v>1</v>
      </c>
      <c r="N73" s="18" t="b">
        <v>0</v>
      </c>
      <c r="O73" s="12"/>
      <c r="P73" s="12"/>
      <c r="Q73" s="12"/>
      <c r="R73" s="12"/>
      <c r="S73" s="12"/>
      <c r="T73" s="12"/>
      <c r="U73" s="12"/>
      <c r="V73" s="12"/>
      <c r="W73" s="12"/>
      <c r="X73" s="12"/>
      <c r="Y73" s="12"/>
      <c r="Z73" s="12"/>
    </row>
    <row r="74" spans="1:26" ht="28.2" thickBot="1" x14ac:dyDescent="0.35">
      <c r="A74" s="15">
        <v>44048</v>
      </c>
      <c r="B74" s="16" t="s">
        <v>270</v>
      </c>
      <c r="C74" s="16" t="s">
        <v>271</v>
      </c>
      <c r="D74" s="16" t="s">
        <v>272</v>
      </c>
      <c r="E74" s="16" t="s">
        <v>273</v>
      </c>
      <c r="F74" s="17">
        <v>107</v>
      </c>
      <c r="G74" s="17">
        <v>1.87</v>
      </c>
      <c r="H74" s="17">
        <v>200</v>
      </c>
      <c r="I74" s="18" t="b">
        <f t="shared" si="2"/>
        <v>1</v>
      </c>
      <c r="J74" s="18" t="b">
        <f t="shared" si="3"/>
        <v>1</v>
      </c>
      <c r="K74" s="12"/>
      <c r="L74" s="12"/>
      <c r="M74" s="18" t="b">
        <v>1</v>
      </c>
      <c r="N74" s="18" t="b">
        <v>1</v>
      </c>
      <c r="O74" s="12"/>
      <c r="P74" s="12"/>
      <c r="Q74" s="12"/>
      <c r="R74" s="12"/>
      <c r="S74" s="12"/>
      <c r="T74" s="12"/>
      <c r="U74" s="12"/>
      <c r="V74" s="12"/>
      <c r="W74" s="12"/>
      <c r="X74" s="12"/>
      <c r="Y74" s="12"/>
      <c r="Z74" s="12"/>
    </row>
    <row r="75" spans="1:26" ht="15" thickBot="1" x14ac:dyDescent="0.35">
      <c r="A75" s="15">
        <v>44051</v>
      </c>
      <c r="B75" s="16" t="s">
        <v>263</v>
      </c>
      <c r="C75" s="16" t="s">
        <v>274</v>
      </c>
      <c r="D75" s="16" t="s">
        <v>265</v>
      </c>
      <c r="E75" s="16" t="s">
        <v>266</v>
      </c>
      <c r="F75" s="17">
        <v>24</v>
      </c>
      <c r="G75" s="17">
        <v>1.77</v>
      </c>
      <c r="H75" s="17">
        <v>42</v>
      </c>
      <c r="I75" s="18" t="b">
        <f t="shared" si="2"/>
        <v>0</v>
      </c>
      <c r="J75" s="18" t="b">
        <f t="shared" si="3"/>
        <v>0</v>
      </c>
      <c r="K75" s="12"/>
      <c r="L75" s="12"/>
      <c r="M75" s="18" t="b">
        <v>0</v>
      </c>
      <c r="N75" s="18" t="b">
        <v>0</v>
      </c>
      <c r="O75" s="12"/>
      <c r="P75" s="12"/>
      <c r="Q75" s="12"/>
      <c r="R75" s="12"/>
      <c r="S75" s="12"/>
      <c r="T75" s="12"/>
      <c r="U75" s="12"/>
      <c r="V75" s="12"/>
      <c r="W75" s="12"/>
      <c r="X75" s="12"/>
      <c r="Y75" s="12"/>
      <c r="Z75" s="12"/>
    </row>
    <row r="76" spans="1:26" ht="28.2" thickBot="1" x14ac:dyDescent="0.35">
      <c r="A76" s="15">
        <v>44054</v>
      </c>
      <c r="B76" s="16" t="s">
        <v>263</v>
      </c>
      <c r="C76" s="16" t="s">
        <v>274</v>
      </c>
      <c r="D76" s="16" t="s">
        <v>268</v>
      </c>
      <c r="E76" s="16" t="s">
        <v>269</v>
      </c>
      <c r="F76" s="17">
        <v>30</v>
      </c>
      <c r="G76" s="17">
        <v>3.49</v>
      </c>
      <c r="H76" s="17">
        <v>105</v>
      </c>
      <c r="I76" s="18" t="b">
        <f t="shared" si="2"/>
        <v>0</v>
      </c>
      <c r="J76" s="18" t="b">
        <f t="shared" si="3"/>
        <v>0</v>
      </c>
      <c r="K76" s="12"/>
      <c r="L76" s="12"/>
      <c r="M76" s="18" t="b">
        <v>0</v>
      </c>
      <c r="N76" s="18" t="b">
        <v>0</v>
      </c>
      <c r="O76" s="12"/>
      <c r="P76" s="12"/>
      <c r="Q76" s="12"/>
      <c r="R76" s="12"/>
      <c r="S76" s="12"/>
      <c r="T76" s="12"/>
      <c r="U76" s="12"/>
      <c r="V76" s="12"/>
      <c r="W76" s="12"/>
      <c r="X76" s="12"/>
      <c r="Y76" s="12"/>
      <c r="Z76" s="12"/>
    </row>
    <row r="77" spans="1:26" ht="28.2" thickBot="1" x14ac:dyDescent="0.35">
      <c r="A77" s="15">
        <v>44057</v>
      </c>
      <c r="B77" s="16" t="s">
        <v>270</v>
      </c>
      <c r="C77" s="16" t="s">
        <v>282</v>
      </c>
      <c r="D77" s="16" t="s">
        <v>272</v>
      </c>
      <c r="E77" s="16" t="s">
        <v>273</v>
      </c>
      <c r="F77" s="17">
        <v>70</v>
      </c>
      <c r="G77" s="17">
        <v>1.87</v>
      </c>
      <c r="H77" s="17">
        <v>131</v>
      </c>
      <c r="I77" s="18" t="b">
        <f t="shared" si="2"/>
        <v>1</v>
      </c>
      <c r="J77" s="18" t="b">
        <f t="shared" si="3"/>
        <v>1</v>
      </c>
      <c r="K77" s="12"/>
      <c r="L77" s="12"/>
      <c r="M77" s="18" t="b">
        <v>1</v>
      </c>
      <c r="N77" s="18" t="b">
        <v>1</v>
      </c>
      <c r="O77" s="12"/>
      <c r="P77" s="12"/>
      <c r="Q77" s="12"/>
      <c r="R77" s="12"/>
      <c r="S77" s="12"/>
      <c r="T77" s="12"/>
      <c r="U77" s="12"/>
      <c r="V77" s="12"/>
      <c r="W77" s="12"/>
      <c r="X77" s="12"/>
      <c r="Y77" s="12"/>
      <c r="Z77" s="12"/>
    </row>
    <row r="78" spans="1:26" ht="28.2" thickBot="1" x14ac:dyDescent="0.35">
      <c r="A78" s="15">
        <v>44060</v>
      </c>
      <c r="B78" s="16" t="s">
        <v>263</v>
      </c>
      <c r="C78" s="16" t="s">
        <v>264</v>
      </c>
      <c r="D78" s="16" t="s">
        <v>272</v>
      </c>
      <c r="E78" s="16" t="s">
        <v>276</v>
      </c>
      <c r="F78" s="17">
        <v>31</v>
      </c>
      <c r="G78" s="17">
        <v>2.1800000000000002</v>
      </c>
      <c r="H78" s="17">
        <v>68</v>
      </c>
      <c r="I78" s="18" t="b">
        <f t="shared" si="2"/>
        <v>1</v>
      </c>
      <c r="J78" s="18" t="b">
        <f t="shared" si="3"/>
        <v>0</v>
      </c>
      <c r="K78" s="12"/>
      <c r="L78" s="12"/>
      <c r="M78" s="18" t="b">
        <v>1</v>
      </c>
      <c r="N78" s="18" t="b">
        <v>0</v>
      </c>
      <c r="O78" s="12"/>
      <c r="P78" s="12"/>
      <c r="Q78" s="12"/>
      <c r="R78" s="12"/>
      <c r="S78" s="12"/>
      <c r="T78" s="12"/>
      <c r="U78" s="12"/>
      <c r="V78" s="12"/>
      <c r="W78" s="12"/>
      <c r="X78" s="12"/>
      <c r="Y78" s="12"/>
      <c r="Z78" s="12"/>
    </row>
    <row r="79" spans="1:26" ht="15" thickBot="1" x14ac:dyDescent="0.35">
      <c r="A79" s="15">
        <v>44063</v>
      </c>
      <c r="B79" s="16" t="s">
        <v>263</v>
      </c>
      <c r="C79" s="16" t="s">
        <v>264</v>
      </c>
      <c r="D79" s="16" t="s">
        <v>265</v>
      </c>
      <c r="E79" s="16" t="s">
        <v>266</v>
      </c>
      <c r="F79" s="17">
        <v>109</v>
      </c>
      <c r="G79" s="17">
        <v>1.77</v>
      </c>
      <c r="H79" s="17">
        <v>193</v>
      </c>
      <c r="I79" s="18" t="b">
        <f t="shared" si="2"/>
        <v>1</v>
      </c>
      <c r="J79" s="18" t="b">
        <f t="shared" si="3"/>
        <v>0</v>
      </c>
      <c r="K79" s="12"/>
      <c r="L79" s="12"/>
      <c r="M79" s="18" t="b">
        <v>1</v>
      </c>
      <c r="N79" s="18" t="b">
        <v>0</v>
      </c>
      <c r="O79" s="12"/>
      <c r="P79" s="12"/>
      <c r="Q79" s="12"/>
      <c r="R79" s="12"/>
      <c r="S79" s="12"/>
      <c r="T79" s="12"/>
      <c r="U79" s="12"/>
      <c r="V79" s="12"/>
      <c r="W79" s="12"/>
      <c r="X79" s="12"/>
      <c r="Y79" s="12"/>
      <c r="Z79" s="12"/>
    </row>
    <row r="80" spans="1:26" ht="28.2" thickBot="1" x14ac:dyDescent="0.35">
      <c r="A80" s="15">
        <v>44066</v>
      </c>
      <c r="B80" s="16" t="s">
        <v>263</v>
      </c>
      <c r="C80" s="16" t="s">
        <v>264</v>
      </c>
      <c r="D80" s="16" t="s">
        <v>268</v>
      </c>
      <c r="E80" s="16" t="s">
        <v>269</v>
      </c>
      <c r="F80" s="17">
        <v>21</v>
      </c>
      <c r="G80" s="17">
        <v>3.49</v>
      </c>
      <c r="H80" s="17">
        <v>73</v>
      </c>
      <c r="I80" s="18" t="b">
        <f t="shared" si="2"/>
        <v>1</v>
      </c>
      <c r="J80" s="18" t="b">
        <f t="shared" si="3"/>
        <v>0</v>
      </c>
      <c r="K80" s="12"/>
      <c r="L80" s="12"/>
      <c r="M80" s="18" t="b">
        <v>1</v>
      </c>
      <c r="N80" s="18" t="b">
        <v>0</v>
      </c>
      <c r="O80" s="12"/>
      <c r="P80" s="12"/>
      <c r="Q80" s="12"/>
      <c r="R80" s="12"/>
      <c r="S80" s="12"/>
      <c r="T80" s="12"/>
      <c r="U80" s="12"/>
      <c r="V80" s="12"/>
      <c r="W80" s="12"/>
      <c r="X80" s="12"/>
      <c r="Y80" s="12"/>
      <c r="Z80" s="12"/>
    </row>
    <row r="81" spans="1:26" ht="28.2" thickBot="1" x14ac:dyDescent="0.35">
      <c r="A81" s="15">
        <v>44069</v>
      </c>
      <c r="B81" s="16" t="s">
        <v>270</v>
      </c>
      <c r="C81" s="16" t="s">
        <v>271</v>
      </c>
      <c r="D81" s="16" t="s">
        <v>272</v>
      </c>
      <c r="E81" s="16" t="s">
        <v>273</v>
      </c>
      <c r="F81" s="17">
        <v>80</v>
      </c>
      <c r="G81" s="17">
        <v>1.87</v>
      </c>
      <c r="H81" s="17">
        <v>150</v>
      </c>
      <c r="I81" s="18" t="b">
        <f t="shared" si="2"/>
        <v>1</v>
      </c>
      <c r="J81" s="18" t="b">
        <f t="shared" si="3"/>
        <v>1</v>
      </c>
      <c r="K81" s="12"/>
      <c r="L81" s="12"/>
      <c r="M81" s="18" t="b">
        <v>1</v>
      </c>
      <c r="N81" s="18" t="b">
        <v>1</v>
      </c>
      <c r="O81" s="12"/>
      <c r="P81" s="12"/>
      <c r="Q81" s="12"/>
      <c r="R81" s="12"/>
      <c r="S81" s="12"/>
      <c r="T81" s="12"/>
      <c r="U81" s="12"/>
      <c r="V81" s="12"/>
      <c r="W81" s="12"/>
      <c r="X81" s="12"/>
      <c r="Y81" s="12"/>
      <c r="Z81" s="12"/>
    </row>
    <row r="82" spans="1:26" ht="15" thickBot="1" x14ac:dyDescent="0.35">
      <c r="A82" s="15">
        <v>44072</v>
      </c>
      <c r="B82" s="16" t="s">
        <v>263</v>
      </c>
      <c r="C82" s="16" t="s">
        <v>274</v>
      </c>
      <c r="D82" s="16" t="s">
        <v>265</v>
      </c>
      <c r="E82" s="16" t="s">
        <v>281</v>
      </c>
      <c r="F82" s="17">
        <v>75</v>
      </c>
      <c r="G82" s="17">
        <v>1.87</v>
      </c>
      <c r="H82" s="17">
        <v>140</v>
      </c>
      <c r="I82" s="18" t="b">
        <f t="shared" si="2"/>
        <v>0</v>
      </c>
      <c r="J82" s="18" t="b">
        <f t="shared" si="3"/>
        <v>0</v>
      </c>
      <c r="K82" s="12"/>
      <c r="L82" s="12"/>
      <c r="M82" s="18" t="b">
        <v>0</v>
      </c>
      <c r="N82" s="18" t="b">
        <v>0</v>
      </c>
      <c r="O82" s="12"/>
      <c r="P82" s="12"/>
      <c r="Q82" s="12"/>
      <c r="R82" s="12"/>
      <c r="S82" s="12"/>
      <c r="T82" s="12"/>
      <c r="U82" s="12"/>
      <c r="V82" s="12"/>
      <c r="W82" s="12"/>
      <c r="X82" s="12"/>
      <c r="Y82" s="12"/>
      <c r="Z82" s="12"/>
    </row>
    <row r="83" spans="1:26" ht="28.2" thickBot="1" x14ac:dyDescent="0.35">
      <c r="A83" s="15">
        <v>44075</v>
      </c>
      <c r="B83" s="16" t="s">
        <v>263</v>
      </c>
      <c r="C83" s="16" t="s">
        <v>274</v>
      </c>
      <c r="D83" s="16" t="s">
        <v>272</v>
      </c>
      <c r="E83" s="16" t="s">
        <v>280</v>
      </c>
      <c r="F83" s="17">
        <v>74</v>
      </c>
      <c r="G83" s="17">
        <v>2.84</v>
      </c>
      <c r="H83" s="17">
        <v>210</v>
      </c>
      <c r="I83" s="18" t="b">
        <f t="shared" si="2"/>
        <v>0</v>
      </c>
      <c r="J83" s="18" t="b">
        <f t="shared" si="3"/>
        <v>0</v>
      </c>
      <c r="K83" s="12"/>
      <c r="L83" s="12"/>
      <c r="M83" s="18" t="b">
        <v>0</v>
      </c>
      <c r="N83" s="18" t="b">
        <v>0</v>
      </c>
      <c r="O83" s="12"/>
      <c r="P83" s="12"/>
      <c r="Q83" s="12"/>
      <c r="R83" s="12"/>
      <c r="S83" s="12"/>
      <c r="T83" s="12"/>
      <c r="U83" s="12"/>
      <c r="V83" s="12"/>
      <c r="W83" s="12"/>
      <c r="X83" s="12"/>
      <c r="Y83" s="12"/>
      <c r="Z83" s="12"/>
    </row>
    <row r="84" spans="1:26" ht="15" thickBot="1" x14ac:dyDescent="0.35">
      <c r="A84" s="15">
        <v>44078</v>
      </c>
      <c r="B84" s="16" t="s">
        <v>270</v>
      </c>
      <c r="C84" s="16" t="s">
        <v>282</v>
      </c>
      <c r="D84" s="16" t="s">
        <v>265</v>
      </c>
      <c r="E84" s="16" t="s">
        <v>266</v>
      </c>
      <c r="F84" s="17">
        <v>45</v>
      </c>
      <c r="G84" s="17">
        <v>1.77</v>
      </c>
      <c r="H84" s="17">
        <v>80</v>
      </c>
      <c r="I84" s="18" t="b">
        <f t="shared" si="2"/>
        <v>0</v>
      </c>
      <c r="J84" s="18" t="b">
        <f t="shared" si="3"/>
        <v>0</v>
      </c>
      <c r="K84" s="12"/>
      <c r="L84" s="12"/>
      <c r="M84" s="18" t="b">
        <v>0</v>
      </c>
      <c r="N84" s="18" t="b">
        <v>0</v>
      </c>
      <c r="O84" s="12"/>
      <c r="P84" s="12"/>
      <c r="Q84" s="12"/>
      <c r="R84" s="12"/>
      <c r="S84" s="12"/>
      <c r="T84" s="12"/>
      <c r="U84" s="12"/>
      <c r="V84" s="12"/>
      <c r="W84" s="12"/>
      <c r="X84" s="12"/>
      <c r="Y84" s="12"/>
      <c r="Z84" s="12"/>
    </row>
    <row r="85" spans="1:26" ht="28.2" thickBot="1" x14ac:dyDescent="0.35">
      <c r="A85" s="15">
        <v>44081</v>
      </c>
      <c r="B85" s="16" t="s">
        <v>263</v>
      </c>
      <c r="C85" s="16" t="s">
        <v>264</v>
      </c>
      <c r="D85" s="16" t="s">
        <v>272</v>
      </c>
      <c r="E85" s="16" t="s">
        <v>276</v>
      </c>
      <c r="F85" s="17">
        <v>28</v>
      </c>
      <c r="G85" s="17">
        <v>2.1800000000000002</v>
      </c>
      <c r="H85" s="17">
        <v>61</v>
      </c>
      <c r="I85" s="18" t="b">
        <f t="shared" si="2"/>
        <v>1</v>
      </c>
      <c r="J85" s="18" t="b">
        <f t="shared" si="3"/>
        <v>0</v>
      </c>
      <c r="K85" s="12"/>
      <c r="L85" s="12"/>
      <c r="M85" s="18" t="b">
        <v>1</v>
      </c>
      <c r="N85" s="18" t="b">
        <v>0</v>
      </c>
      <c r="O85" s="12"/>
      <c r="P85" s="12"/>
      <c r="Q85" s="12"/>
      <c r="R85" s="12"/>
      <c r="S85" s="12"/>
      <c r="T85" s="12"/>
      <c r="U85" s="12"/>
      <c r="V85" s="12"/>
      <c r="W85" s="12"/>
      <c r="X85" s="12"/>
      <c r="Y85" s="12"/>
      <c r="Z85" s="12"/>
    </row>
    <row r="86" spans="1:26" ht="15" thickBot="1" x14ac:dyDescent="0.35">
      <c r="A86" s="15">
        <v>44084</v>
      </c>
      <c r="B86" s="16" t="s">
        <v>263</v>
      </c>
      <c r="C86" s="16" t="s">
        <v>264</v>
      </c>
      <c r="D86" s="16" t="s">
        <v>265</v>
      </c>
      <c r="E86" s="16" t="s">
        <v>266</v>
      </c>
      <c r="F86" s="17">
        <v>143</v>
      </c>
      <c r="G86" s="17">
        <v>1.77</v>
      </c>
      <c r="H86" s="17">
        <v>253</v>
      </c>
      <c r="I86" s="18" t="b">
        <f t="shared" si="2"/>
        <v>1</v>
      </c>
      <c r="J86" s="18" t="b">
        <f t="shared" si="3"/>
        <v>0</v>
      </c>
      <c r="K86" s="12"/>
      <c r="L86" s="12"/>
      <c r="M86" s="18" t="b">
        <v>1</v>
      </c>
      <c r="N86" s="18" t="b">
        <v>0</v>
      </c>
      <c r="O86" s="12"/>
      <c r="P86" s="12"/>
      <c r="Q86" s="12"/>
      <c r="R86" s="12"/>
      <c r="S86" s="12"/>
      <c r="T86" s="12"/>
      <c r="U86" s="12"/>
      <c r="V86" s="12"/>
      <c r="W86" s="12"/>
      <c r="X86" s="12"/>
      <c r="Y86" s="12"/>
      <c r="Z86" s="12"/>
    </row>
    <row r="87" spans="1:26" ht="15" thickBot="1" x14ac:dyDescent="0.35">
      <c r="A87" s="15">
        <v>44087</v>
      </c>
      <c r="B87" s="16" t="s">
        <v>263</v>
      </c>
      <c r="C87" s="16" t="s">
        <v>264</v>
      </c>
      <c r="D87" s="16" t="s">
        <v>278</v>
      </c>
      <c r="E87" s="16" t="s">
        <v>283</v>
      </c>
      <c r="F87" s="17">
        <v>27</v>
      </c>
      <c r="G87" s="17">
        <v>3.15</v>
      </c>
      <c r="H87" s="17">
        <v>85</v>
      </c>
      <c r="I87" s="18" t="b">
        <f t="shared" si="2"/>
        <v>1</v>
      </c>
      <c r="J87" s="18" t="b">
        <f t="shared" si="3"/>
        <v>0</v>
      </c>
      <c r="K87" s="12"/>
      <c r="L87" s="12"/>
      <c r="M87" s="18" t="b">
        <v>1</v>
      </c>
      <c r="N87" s="18" t="b">
        <v>0</v>
      </c>
      <c r="O87" s="12"/>
      <c r="P87" s="12"/>
      <c r="Q87" s="12"/>
      <c r="R87" s="12"/>
      <c r="S87" s="12"/>
      <c r="T87" s="12"/>
      <c r="U87" s="12"/>
      <c r="V87" s="12"/>
      <c r="W87" s="12"/>
      <c r="X87" s="12"/>
      <c r="Y87" s="12"/>
      <c r="Z87" s="12"/>
    </row>
    <row r="88" spans="1:26" ht="28.2" thickBot="1" x14ac:dyDescent="0.35">
      <c r="A88" s="15">
        <v>44090</v>
      </c>
      <c r="B88" s="16" t="s">
        <v>270</v>
      </c>
      <c r="C88" s="16" t="s">
        <v>271</v>
      </c>
      <c r="D88" s="16" t="s">
        <v>265</v>
      </c>
      <c r="E88" s="16" t="s">
        <v>266</v>
      </c>
      <c r="F88" s="17">
        <v>133</v>
      </c>
      <c r="G88" s="17">
        <v>1.77</v>
      </c>
      <c r="H88" s="17">
        <v>235</v>
      </c>
      <c r="I88" s="18" t="b">
        <f t="shared" si="2"/>
        <v>0</v>
      </c>
      <c r="J88" s="18" t="b">
        <f t="shared" si="3"/>
        <v>0</v>
      </c>
      <c r="K88" s="12"/>
      <c r="L88" s="12"/>
      <c r="M88" s="18" t="b">
        <v>0</v>
      </c>
      <c r="N88" s="18" t="b">
        <v>0</v>
      </c>
      <c r="O88" s="12"/>
      <c r="P88" s="12"/>
      <c r="Q88" s="12"/>
      <c r="R88" s="12"/>
      <c r="S88" s="12"/>
      <c r="T88" s="12"/>
      <c r="U88" s="12"/>
      <c r="V88" s="12"/>
      <c r="W88" s="12"/>
      <c r="X88" s="12"/>
      <c r="Y88" s="12"/>
      <c r="Z88" s="12"/>
    </row>
    <row r="89" spans="1:26" ht="28.2" thickBot="1" x14ac:dyDescent="0.35">
      <c r="A89" s="15">
        <v>44093</v>
      </c>
      <c r="B89" s="16" t="s">
        <v>263</v>
      </c>
      <c r="C89" s="16" t="s">
        <v>274</v>
      </c>
      <c r="D89" s="16" t="s">
        <v>272</v>
      </c>
      <c r="E89" s="16" t="s">
        <v>276</v>
      </c>
      <c r="F89" s="17">
        <v>110</v>
      </c>
      <c r="G89" s="17">
        <v>2.1800000000000002</v>
      </c>
      <c r="H89" s="17">
        <v>240</v>
      </c>
      <c r="I89" s="18" t="b">
        <f t="shared" si="2"/>
        <v>0</v>
      </c>
      <c r="J89" s="18" t="b">
        <f t="shared" si="3"/>
        <v>0</v>
      </c>
      <c r="K89" s="12"/>
      <c r="L89" s="12"/>
      <c r="M89" s="18" t="b">
        <v>0</v>
      </c>
      <c r="N89" s="18" t="b">
        <v>0</v>
      </c>
      <c r="O89" s="12"/>
      <c r="P89" s="12"/>
      <c r="Q89" s="12"/>
      <c r="R89" s="12"/>
      <c r="S89" s="12"/>
      <c r="T89" s="12"/>
      <c r="U89" s="12"/>
      <c r="V89" s="12"/>
      <c r="W89" s="12"/>
      <c r="X89" s="12"/>
      <c r="Y89" s="12"/>
      <c r="Z89" s="12"/>
    </row>
    <row r="90" spans="1:26" ht="28.2" thickBot="1" x14ac:dyDescent="0.35">
      <c r="A90" s="15">
        <v>44096</v>
      </c>
      <c r="B90" s="16" t="s">
        <v>263</v>
      </c>
      <c r="C90" s="16" t="s">
        <v>274</v>
      </c>
      <c r="D90" s="16" t="s">
        <v>272</v>
      </c>
      <c r="E90" s="16" t="s">
        <v>273</v>
      </c>
      <c r="F90" s="17">
        <v>65</v>
      </c>
      <c r="G90" s="17">
        <v>1.87</v>
      </c>
      <c r="H90" s="17">
        <v>122</v>
      </c>
      <c r="I90" s="18" t="b">
        <f t="shared" si="2"/>
        <v>1</v>
      </c>
      <c r="J90" s="18" t="b">
        <f t="shared" si="3"/>
        <v>0</v>
      </c>
      <c r="K90" s="12"/>
      <c r="L90" s="12"/>
      <c r="M90" s="18" t="b">
        <v>1</v>
      </c>
      <c r="N90" s="18" t="b">
        <v>0</v>
      </c>
      <c r="O90" s="12"/>
      <c r="P90" s="12"/>
      <c r="Q90" s="12"/>
      <c r="R90" s="12"/>
      <c r="S90" s="12"/>
      <c r="T90" s="12"/>
      <c r="U90" s="12"/>
      <c r="V90" s="12"/>
      <c r="W90" s="12"/>
      <c r="X90" s="12"/>
      <c r="Y90" s="12"/>
      <c r="Z90" s="12"/>
    </row>
    <row r="91" spans="1:26" ht="15" thickBot="1" x14ac:dyDescent="0.35">
      <c r="A91" s="15">
        <v>44099</v>
      </c>
      <c r="B91" s="16" t="s">
        <v>270</v>
      </c>
      <c r="C91" s="16" t="s">
        <v>282</v>
      </c>
      <c r="D91" s="16" t="s">
        <v>265</v>
      </c>
      <c r="E91" s="16" t="s">
        <v>281</v>
      </c>
      <c r="F91" s="17">
        <v>33</v>
      </c>
      <c r="G91" s="17">
        <v>1.87</v>
      </c>
      <c r="H91" s="17">
        <v>62</v>
      </c>
      <c r="I91" s="18" t="b">
        <f t="shared" si="2"/>
        <v>0</v>
      </c>
      <c r="J91" s="18" t="b">
        <f t="shared" si="3"/>
        <v>0</v>
      </c>
      <c r="K91" s="12"/>
      <c r="L91" s="12"/>
      <c r="M91" s="18" t="b">
        <v>0</v>
      </c>
      <c r="N91" s="18" t="b">
        <v>0</v>
      </c>
      <c r="O91" s="12"/>
      <c r="P91" s="12"/>
      <c r="Q91" s="12"/>
      <c r="R91" s="12"/>
      <c r="S91" s="12"/>
      <c r="T91" s="12"/>
      <c r="U91" s="12"/>
      <c r="V91" s="12"/>
      <c r="W91" s="12"/>
      <c r="X91" s="12"/>
      <c r="Y91" s="12"/>
      <c r="Z91" s="12"/>
    </row>
    <row r="92" spans="1:26" ht="28.2" thickBot="1" x14ac:dyDescent="0.35">
      <c r="A92" s="15">
        <v>44102</v>
      </c>
      <c r="B92" s="16" t="s">
        <v>263</v>
      </c>
      <c r="C92" s="16" t="s">
        <v>264</v>
      </c>
      <c r="D92" s="16" t="s">
        <v>272</v>
      </c>
      <c r="E92" s="16" t="s">
        <v>276</v>
      </c>
      <c r="F92" s="17">
        <v>81</v>
      </c>
      <c r="G92" s="17">
        <v>2.1800000000000002</v>
      </c>
      <c r="H92" s="17">
        <v>177</v>
      </c>
      <c r="I92" s="18" t="b">
        <f t="shared" si="2"/>
        <v>1</v>
      </c>
      <c r="J92" s="18" t="b">
        <f t="shared" si="3"/>
        <v>0</v>
      </c>
      <c r="K92" s="12"/>
      <c r="L92" s="12"/>
      <c r="M92" s="18" t="b">
        <v>1</v>
      </c>
      <c r="N92" s="18" t="b">
        <v>0</v>
      </c>
      <c r="O92" s="12"/>
      <c r="P92" s="12"/>
      <c r="Q92" s="12"/>
      <c r="R92" s="12"/>
      <c r="S92" s="12"/>
      <c r="T92" s="12"/>
      <c r="U92" s="12"/>
      <c r="V92" s="12"/>
      <c r="W92" s="12"/>
      <c r="X92" s="12"/>
      <c r="Y92" s="12"/>
      <c r="Z92" s="12"/>
    </row>
    <row r="93" spans="1:26" ht="15" thickBot="1" x14ac:dyDescent="0.35">
      <c r="A93" s="15">
        <v>44105</v>
      </c>
      <c r="B93" s="16" t="s">
        <v>263</v>
      </c>
      <c r="C93" s="16" t="s">
        <v>264</v>
      </c>
      <c r="D93" s="16" t="s">
        <v>265</v>
      </c>
      <c r="E93" s="16" t="s">
        <v>266</v>
      </c>
      <c r="F93" s="17">
        <v>77</v>
      </c>
      <c r="G93" s="17">
        <v>1.77</v>
      </c>
      <c r="H93" s="17">
        <v>136</v>
      </c>
      <c r="I93" s="18" t="b">
        <f t="shared" si="2"/>
        <v>1</v>
      </c>
      <c r="J93" s="18" t="b">
        <f t="shared" si="3"/>
        <v>0</v>
      </c>
      <c r="K93" s="12"/>
      <c r="L93" s="12"/>
      <c r="M93" s="18" t="b">
        <v>1</v>
      </c>
      <c r="N93" s="18" t="b">
        <v>0</v>
      </c>
      <c r="O93" s="12"/>
      <c r="P93" s="12"/>
      <c r="Q93" s="12"/>
      <c r="R93" s="12"/>
      <c r="S93" s="12"/>
      <c r="T93" s="12"/>
      <c r="U93" s="12"/>
      <c r="V93" s="12"/>
      <c r="W93" s="12"/>
      <c r="X93" s="12"/>
      <c r="Y93" s="12"/>
      <c r="Z93" s="12"/>
    </row>
    <row r="94" spans="1:26" ht="28.2" thickBot="1" x14ac:dyDescent="0.35">
      <c r="A94" s="15">
        <v>44108</v>
      </c>
      <c r="B94" s="16" t="s">
        <v>263</v>
      </c>
      <c r="C94" s="16" t="s">
        <v>264</v>
      </c>
      <c r="D94" s="16" t="s">
        <v>268</v>
      </c>
      <c r="E94" s="16" t="s">
        <v>269</v>
      </c>
      <c r="F94" s="17">
        <v>38</v>
      </c>
      <c r="G94" s="17">
        <v>3.49</v>
      </c>
      <c r="H94" s="17">
        <v>133</v>
      </c>
      <c r="I94" s="18" t="b">
        <f t="shared" si="2"/>
        <v>1</v>
      </c>
      <c r="J94" s="18" t="b">
        <f t="shared" si="3"/>
        <v>0</v>
      </c>
      <c r="K94" s="12"/>
      <c r="L94" s="12"/>
      <c r="M94" s="18" t="b">
        <v>1</v>
      </c>
      <c r="N94" s="18" t="b">
        <v>0</v>
      </c>
      <c r="O94" s="12"/>
      <c r="P94" s="12"/>
      <c r="Q94" s="12"/>
      <c r="R94" s="12"/>
      <c r="S94" s="12"/>
      <c r="T94" s="12"/>
      <c r="U94" s="12"/>
      <c r="V94" s="12"/>
      <c r="W94" s="12"/>
      <c r="X94" s="12"/>
      <c r="Y94" s="12"/>
      <c r="Z94" s="12"/>
    </row>
    <row r="95" spans="1:26" ht="28.2" thickBot="1" x14ac:dyDescent="0.35">
      <c r="A95" s="15">
        <v>44111</v>
      </c>
      <c r="B95" s="16" t="s">
        <v>270</v>
      </c>
      <c r="C95" s="16" t="s">
        <v>271</v>
      </c>
      <c r="D95" s="16" t="s">
        <v>265</v>
      </c>
      <c r="E95" s="16" t="s">
        <v>266</v>
      </c>
      <c r="F95" s="17">
        <v>40</v>
      </c>
      <c r="G95" s="17">
        <v>1.77</v>
      </c>
      <c r="H95" s="17">
        <v>71</v>
      </c>
      <c r="I95" s="18" t="b">
        <f t="shared" si="2"/>
        <v>0</v>
      </c>
      <c r="J95" s="18" t="b">
        <f t="shared" si="3"/>
        <v>0</v>
      </c>
      <c r="K95" s="12"/>
      <c r="L95" s="12"/>
      <c r="M95" s="18" t="b">
        <v>0</v>
      </c>
      <c r="N95" s="18" t="b">
        <v>0</v>
      </c>
      <c r="O95" s="12"/>
      <c r="P95" s="12"/>
      <c r="Q95" s="12"/>
      <c r="R95" s="12"/>
      <c r="S95" s="12"/>
      <c r="T95" s="12"/>
      <c r="U95" s="12"/>
      <c r="V95" s="12"/>
      <c r="W95" s="12"/>
      <c r="X95" s="12"/>
      <c r="Y95" s="12"/>
      <c r="Z95" s="12"/>
    </row>
    <row r="96" spans="1:26" ht="28.2" thickBot="1" x14ac:dyDescent="0.35">
      <c r="A96" s="15">
        <v>44114</v>
      </c>
      <c r="B96" s="16" t="s">
        <v>270</v>
      </c>
      <c r="C96" s="16" t="s">
        <v>271</v>
      </c>
      <c r="D96" s="16" t="s">
        <v>278</v>
      </c>
      <c r="E96" s="16" t="s">
        <v>279</v>
      </c>
      <c r="F96" s="17">
        <v>114</v>
      </c>
      <c r="G96" s="17">
        <v>1.68</v>
      </c>
      <c r="H96" s="17">
        <v>192</v>
      </c>
      <c r="I96" s="18" t="b">
        <f t="shared" si="2"/>
        <v>0</v>
      </c>
      <c r="J96" s="18" t="b">
        <f t="shared" si="3"/>
        <v>0</v>
      </c>
      <c r="K96" s="12"/>
      <c r="L96" s="12"/>
      <c r="M96" s="18" t="b">
        <v>0</v>
      </c>
      <c r="N96" s="18" t="b">
        <v>0</v>
      </c>
      <c r="O96" s="12"/>
      <c r="P96" s="12"/>
      <c r="Q96" s="12"/>
      <c r="R96" s="12"/>
      <c r="S96" s="12"/>
      <c r="T96" s="12"/>
      <c r="U96" s="12"/>
      <c r="V96" s="12"/>
      <c r="W96" s="12"/>
      <c r="X96" s="12"/>
      <c r="Y96" s="12"/>
      <c r="Z96" s="12"/>
    </row>
    <row r="97" spans="1:26" ht="28.2" thickBot="1" x14ac:dyDescent="0.35">
      <c r="A97" s="15">
        <v>44117</v>
      </c>
      <c r="B97" s="16" t="s">
        <v>263</v>
      </c>
      <c r="C97" s="16" t="s">
        <v>274</v>
      </c>
      <c r="D97" s="16" t="s">
        <v>272</v>
      </c>
      <c r="E97" s="16" t="s">
        <v>276</v>
      </c>
      <c r="F97" s="17">
        <v>224</v>
      </c>
      <c r="G97" s="17">
        <v>2.1800000000000002</v>
      </c>
      <c r="H97" s="17">
        <v>488</v>
      </c>
      <c r="I97" s="18" t="b">
        <f t="shared" si="2"/>
        <v>0</v>
      </c>
      <c r="J97" s="18" t="b">
        <f t="shared" si="3"/>
        <v>0</v>
      </c>
      <c r="K97" s="12"/>
      <c r="L97" s="12"/>
      <c r="M97" s="18" t="b">
        <v>0</v>
      </c>
      <c r="N97" s="18" t="b">
        <v>0</v>
      </c>
      <c r="O97" s="12"/>
      <c r="P97" s="12"/>
      <c r="Q97" s="12"/>
      <c r="R97" s="12"/>
      <c r="S97" s="12"/>
      <c r="T97" s="12"/>
      <c r="U97" s="12"/>
      <c r="V97" s="12"/>
      <c r="W97" s="12"/>
      <c r="X97" s="12"/>
      <c r="Y97" s="12"/>
      <c r="Z97" s="12"/>
    </row>
    <row r="98" spans="1:26" ht="15" thickBot="1" x14ac:dyDescent="0.35">
      <c r="A98" s="15">
        <v>44120</v>
      </c>
      <c r="B98" s="16" t="s">
        <v>263</v>
      </c>
      <c r="C98" s="16" t="s">
        <v>274</v>
      </c>
      <c r="D98" s="16" t="s">
        <v>265</v>
      </c>
      <c r="E98" s="16" t="s">
        <v>266</v>
      </c>
      <c r="F98" s="17">
        <v>141</v>
      </c>
      <c r="G98" s="17">
        <v>1.77</v>
      </c>
      <c r="H98" s="17">
        <v>250</v>
      </c>
      <c r="I98" s="18" t="b">
        <f t="shared" si="2"/>
        <v>0</v>
      </c>
      <c r="J98" s="18" t="b">
        <f t="shared" si="3"/>
        <v>0</v>
      </c>
      <c r="K98" s="12"/>
      <c r="L98" s="12"/>
      <c r="M98" s="18" t="b">
        <v>0</v>
      </c>
      <c r="N98" s="18" t="b">
        <v>0</v>
      </c>
      <c r="O98" s="12"/>
      <c r="P98" s="12"/>
      <c r="Q98" s="12"/>
      <c r="R98" s="12"/>
      <c r="S98" s="12"/>
      <c r="T98" s="12"/>
      <c r="U98" s="12"/>
      <c r="V98" s="12"/>
      <c r="W98" s="12"/>
      <c r="X98" s="12"/>
      <c r="Y98" s="12"/>
      <c r="Z98" s="12"/>
    </row>
    <row r="99" spans="1:26" ht="28.2" thickBot="1" x14ac:dyDescent="0.35">
      <c r="A99" s="15">
        <v>44123</v>
      </c>
      <c r="B99" s="16" t="s">
        <v>263</v>
      </c>
      <c r="C99" s="16" t="s">
        <v>274</v>
      </c>
      <c r="D99" s="16" t="s">
        <v>268</v>
      </c>
      <c r="E99" s="16" t="s">
        <v>269</v>
      </c>
      <c r="F99" s="17">
        <v>32</v>
      </c>
      <c r="G99" s="17">
        <v>3.49</v>
      </c>
      <c r="H99" s="17">
        <v>112</v>
      </c>
      <c r="I99" s="18" t="b">
        <f t="shared" si="2"/>
        <v>0</v>
      </c>
      <c r="J99" s="18" t="b">
        <f t="shared" si="3"/>
        <v>0</v>
      </c>
      <c r="K99" s="12"/>
      <c r="L99" s="12"/>
      <c r="M99" s="18" t="b">
        <v>0</v>
      </c>
      <c r="N99" s="18" t="b">
        <v>0</v>
      </c>
      <c r="O99" s="12"/>
      <c r="P99" s="12"/>
      <c r="Q99" s="12"/>
      <c r="R99" s="12"/>
      <c r="S99" s="12"/>
      <c r="T99" s="12"/>
      <c r="U99" s="12"/>
      <c r="V99" s="12"/>
      <c r="W99" s="12"/>
      <c r="X99" s="12"/>
      <c r="Y99" s="12"/>
      <c r="Z99" s="12"/>
    </row>
    <row r="100" spans="1:26" ht="15" thickBot="1" x14ac:dyDescent="0.35">
      <c r="A100" s="15">
        <v>44126</v>
      </c>
      <c r="B100" s="16" t="s">
        <v>270</v>
      </c>
      <c r="C100" s="16" t="s">
        <v>282</v>
      </c>
      <c r="D100" s="16" t="s">
        <v>265</v>
      </c>
      <c r="E100" s="16" t="s">
        <v>266</v>
      </c>
      <c r="F100" s="17">
        <v>20</v>
      </c>
      <c r="G100" s="17">
        <v>1.77</v>
      </c>
      <c r="H100" s="17">
        <v>35</v>
      </c>
      <c r="I100" s="18" t="b">
        <f t="shared" si="2"/>
        <v>0</v>
      </c>
      <c r="J100" s="18" t="b">
        <f t="shared" si="3"/>
        <v>0</v>
      </c>
      <c r="K100" s="12"/>
      <c r="L100" s="12"/>
      <c r="M100" s="18" t="b">
        <v>0</v>
      </c>
      <c r="N100" s="18" t="b">
        <v>0</v>
      </c>
      <c r="O100" s="12"/>
      <c r="P100" s="12"/>
      <c r="Q100" s="12"/>
      <c r="R100" s="12"/>
      <c r="S100" s="12"/>
      <c r="T100" s="12"/>
      <c r="U100" s="12"/>
      <c r="V100" s="12"/>
      <c r="W100" s="12"/>
      <c r="X100" s="12"/>
      <c r="Y100" s="12"/>
      <c r="Z100" s="12"/>
    </row>
    <row r="101" spans="1:26" ht="28.2" thickBot="1" x14ac:dyDescent="0.35">
      <c r="A101" s="15">
        <v>44129</v>
      </c>
      <c r="B101" s="16" t="s">
        <v>263</v>
      </c>
      <c r="C101" s="16" t="s">
        <v>264</v>
      </c>
      <c r="D101" s="16" t="s">
        <v>272</v>
      </c>
      <c r="E101" s="16" t="s">
        <v>276</v>
      </c>
      <c r="F101" s="17">
        <v>40</v>
      </c>
      <c r="G101" s="17">
        <v>2.1800000000000002</v>
      </c>
      <c r="H101" s="17">
        <v>87</v>
      </c>
      <c r="I101" s="18" t="b">
        <f t="shared" si="2"/>
        <v>1</v>
      </c>
      <c r="J101" s="18" t="b">
        <f t="shared" si="3"/>
        <v>0</v>
      </c>
      <c r="K101" s="12"/>
      <c r="L101" s="12"/>
      <c r="M101" s="18" t="b">
        <v>1</v>
      </c>
      <c r="N101" s="18" t="b">
        <v>0</v>
      </c>
      <c r="O101" s="12"/>
      <c r="P101" s="12"/>
      <c r="Q101" s="12"/>
      <c r="R101" s="12"/>
      <c r="S101" s="12"/>
      <c r="T101" s="12"/>
      <c r="U101" s="12"/>
      <c r="V101" s="12"/>
      <c r="W101" s="12"/>
      <c r="X101" s="12"/>
      <c r="Y101" s="12"/>
      <c r="Z101" s="12"/>
    </row>
    <row r="102" spans="1:26" ht="28.2" thickBot="1" x14ac:dyDescent="0.35">
      <c r="A102" s="15">
        <v>44132</v>
      </c>
      <c r="B102" s="16" t="s">
        <v>263</v>
      </c>
      <c r="C102" s="16" t="s">
        <v>264</v>
      </c>
      <c r="D102" s="16" t="s">
        <v>272</v>
      </c>
      <c r="E102" s="16" t="s">
        <v>273</v>
      </c>
      <c r="F102" s="17">
        <v>49</v>
      </c>
      <c r="G102" s="17">
        <v>1.87</v>
      </c>
      <c r="H102" s="17">
        <v>92</v>
      </c>
      <c r="I102" s="18" t="b">
        <f t="shared" si="2"/>
        <v>1</v>
      </c>
      <c r="J102" s="18" t="b">
        <f t="shared" si="3"/>
        <v>0</v>
      </c>
      <c r="K102" s="12"/>
      <c r="L102" s="12"/>
      <c r="M102" s="18" t="b">
        <v>1</v>
      </c>
      <c r="N102" s="18" t="b">
        <v>0</v>
      </c>
      <c r="O102" s="12"/>
      <c r="P102" s="12"/>
      <c r="Q102" s="12"/>
      <c r="R102" s="12"/>
      <c r="S102" s="12"/>
      <c r="T102" s="12"/>
      <c r="U102" s="12"/>
      <c r="V102" s="12"/>
      <c r="W102" s="12"/>
      <c r="X102" s="12"/>
      <c r="Y102" s="12"/>
      <c r="Z102" s="12"/>
    </row>
    <row r="103" spans="1:26" ht="28.2" thickBot="1" x14ac:dyDescent="0.35">
      <c r="A103" s="15">
        <v>44135</v>
      </c>
      <c r="B103" s="16" t="s">
        <v>263</v>
      </c>
      <c r="C103" s="16" t="s">
        <v>264</v>
      </c>
      <c r="D103" s="16" t="s">
        <v>268</v>
      </c>
      <c r="E103" s="16" t="s">
        <v>269</v>
      </c>
      <c r="F103" s="17">
        <v>46</v>
      </c>
      <c r="G103" s="17">
        <v>3.49</v>
      </c>
      <c r="H103" s="17">
        <v>161</v>
      </c>
      <c r="I103" s="18" t="b">
        <f t="shared" si="2"/>
        <v>1</v>
      </c>
      <c r="J103" s="18" t="b">
        <f t="shared" si="3"/>
        <v>0</v>
      </c>
      <c r="K103" s="12"/>
      <c r="L103" s="12"/>
      <c r="M103" s="18" t="b">
        <v>1</v>
      </c>
      <c r="N103" s="18" t="b">
        <v>0</v>
      </c>
      <c r="O103" s="12"/>
      <c r="P103" s="12"/>
      <c r="Q103" s="12"/>
      <c r="R103" s="12"/>
      <c r="S103" s="12"/>
      <c r="T103" s="12"/>
      <c r="U103" s="12"/>
      <c r="V103" s="12"/>
      <c r="W103" s="12"/>
      <c r="X103" s="12"/>
      <c r="Y103" s="12"/>
      <c r="Z103" s="12"/>
    </row>
    <row r="104" spans="1:26" ht="28.2" thickBot="1" x14ac:dyDescent="0.35">
      <c r="A104" s="15">
        <v>44138</v>
      </c>
      <c r="B104" s="16" t="s">
        <v>270</v>
      </c>
      <c r="C104" s="16" t="s">
        <v>271</v>
      </c>
      <c r="D104" s="16" t="s">
        <v>265</v>
      </c>
      <c r="E104" s="16" t="s">
        <v>266</v>
      </c>
      <c r="F104" s="17">
        <v>39</v>
      </c>
      <c r="G104" s="17">
        <v>1.77</v>
      </c>
      <c r="H104" s="17">
        <v>69</v>
      </c>
      <c r="I104" s="18" t="b">
        <f t="shared" si="2"/>
        <v>0</v>
      </c>
      <c r="J104" s="18" t="b">
        <f t="shared" si="3"/>
        <v>0</v>
      </c>
      <c r="K104" s="12"/>
      <c r="L104" s="12"/>
      <c r="M104" s="18" t="b">
        <v>0</v>
      </c>
      <c r="N104" s="18" t="b">
        <v>0</v>
      </c>
      <c r="O104" s="12"/>
      <c r="P104" s="12"/>
      <c r="Q104" s="12"/>
      <c r="R104" s="12"/>
      <c r="S104" s="12"/>
      <c r="T104" s="12"/>
      <c r="U104" s="12"/>
      <c r="V104" s="12"/>
      <c r="W104" s="12"/>
      <c r="X104" s="12"/>
      <c r="Y104" s="12"/>
      <c r="Z104" s="12"/>
    </row>
    <row r="105" spans="1:26" ht="28.2" thickBot="1" x14ac:dyDescent="0.35">
      <c r="A105" s="15">
        <v>44141</v>
      </c>
      <c r="B105" s="16" t="s">
        <v>270</v>
      </c>
      <c r="C105" s="16" t="s">
        <v>271</v>
      </c>
      <c r="D105" s="16" t="s">
        <v>278</v>
      </c>
      <c r="E105" s="16" t="s">
        <v>279</v>
      </c>
      <c r="F105" s="17">
        <v>62</v>
      </c>
      <c r="G105" s="17">
        <v>1.68</v>
      </c>
      <c r="H105" s="17">
        <v>104</v>
      </c>
      <c r="I105" s="18" t="b">
        <f t="shared" si="2"/>
        <v>0</v>
      </c>
      <c r="J105" s="18" t="b">
        <f t="shared" si="3"/>
        <v>0</v>
      </c>
      <c r="K105" s="12"/>
      <c r="L105" s="12"/>
      <c r="M105" s="18" t="b">
        <v>0</v>
      </c>
      <c r="N105" s="18" t="b">
        <v>0</v>
      </c>
      <c r="O105" s="12"/>
      <c r="P105" s="12"/>
      <c r="Q105" s="12"/>
      <c r="R105" s="12"/>
      <c r="S105" s="12"/>
      <c r="T105" s="12"/>
      <c r="U105" s="12"/>
      <c r="V105" s="12"/>
      <c r="W105" s="12"/>
      <c r="X105" s="12"/>
      <c r="Y105" s="12"/>
      <c r="Z105" s="12"/>
    </row>
    <row r="106" spans="1:26" ht="15" thickBot="1" x14ac:dyDescent="0.35">
      <c r="A106" s="15">
        <v>44144</v>
      </c>
      <c r="B106" s="16" t="s">
        <v>263</v>
      </c>
      <c r="C106" s="16" t="s">
        <v>274</v>
      </c>
      <c r="D106" s="16" t="s">
        <v>265</v>
      </c>
      <c r="E106" s="16" t="s">
        <v>266</v>
      </c>
      <c r="F106" s="17">
        <v>90</v>
      </c>
      <c r="G106" s="17">
        <v>1.77</v>
      </c>
      <c r="H106" s="17">
        <v>159</v>
      </c>
      <c r="I106" s="18" t="b">
        <f t="shared" si="2"/>
        <v>0</v>
      </c>
      <c r="J106" s="18" t="b">
        <f t="shared" si="3"/>
        <v>0</v>
      </c>
      <c r="K106" s="12"/>
      <c r="L106" s="12"/>
      <c r="M106" s="18" t="b">
        <v>0</v>
      </c>
      <c r="N106" s="18" t="b">
        <v>0</v>
      </c>
      <c r="O106" s="12"/>
      <c r="P106" s="12"/>
      <c r="Q106" s="12"/>
      <c r="R106" s="12"/>
      <c r="S106" s="12"/>
      <c r="T106" s="12"/>
      <c r="U106" s="12"/>
      <c r="V106" s="12"/>
      <c r="W106" s="12"/>
      <c r="X106" s="12"/>
      <c r="Y106" s="12"/>
      <c r="Z106" s="12"/>
    </row>
    <row r="107" spans="1:26" ht="28.2" thickBot="1" x14ac:dyDescent="0.35">
      <c r="A107" s="15">
        <v>44147</v>
      </c>
      <c r="B107" s="16" t="s">
        <v>270</v>
      </c>
      <c r="C107" s="16" t="s">
        <v>282</v>
      </c>
      <c r="D107" s="16" t="s">
        <v>272</v>
      </c>
      <c r="E107" s="16" t="s">
        <v>276</v>
      </c>
      <c r="F107" s="17">
        <v>103</v>
      </c>
      <c r="G107" s="17">
        <v>2.1800000000000002</v>
      </c>
      <c r="H107" s="17">
        <v>225</v>
      </c>
      <c r="I107" s="18" t="b">
        <f t="shared" si="2"/>
        <v>0</v>
      </c>
      <c r="J107" s="18" t="b">
        <f t="shared" si="3"/>
        <v>0</v>
      </c>
      <c r="K107" s="12"/>
      <c r="L107" s="12"/>
      <c r="M107" s="18" t="b">
        <v>0</v>
      </c>
      <c r="N107" s="18" t="b">
        <v>0</v>
      </c>
      <c r="O107" s="12"/>
      <c r="P107" s="12"/>
      <c r="Q107" s="12"/>
      <c r="R107" s="12"/>
      <c r="S107" s="12"/>
      <c r="T107" s="12"/>
      <c r="U107" s="12"/>
      <c r="V107" s="12"/>
      <c r="W107" s="12"/>
      <c r="X107" s="12"/>
      <c r="Y107" s="12"/>
      <c r="Z107" s="12"/>
    </row>
    <row r="108" spans="1:26" ht="28.2" thickBot="1" x14ac:dyDescent="0.35">
      <c r="A108" s="15">
        <v>44150</v>
      </c>
      <c r="B108" s="16" t="s">
        <v>270</v>
      </c>
      <c r="C108" s="16" t="s">
        <v>282</v>
      </c>
      <c r="D108" s="16" t="s">
        <v>272</v>
      </c>
      <c r="E108" s="16" t="s">
        <v>280</v>
      </c>
      <c r="F108" s="17">
        <v>32</v>
      </c>
      <c r="G108" s="17">
        <v>2.84</v>
      </c>
      <c r="H108" s="17">
        <v>91</v>
      </c>
      <c r="I108" s="18" t="b">
        <f t="shared" si="2"/>
        <v>0</v>
      </c>
      <c r="J108" s="18" t="b">
        <f t="shared" si="3"/>
        <v>0</v>
      </c>
      <c r="K108" s="12"/>
      <c r="L108" s="12"/>
      <c r="M108" s="18" t="b">
        <v>0</v>
      </c>
      <c r="N108" s="18" t="b">
        <v>0</v>
      </c>
      <c r="O108" s="12"/>
      <c r="P108" s="12"/>
      <c r="Q108" s="12"/>
      <c r="R108" s="12"/>
      <c r="S108" s="12"/>
      <c r="T108" s="12"/>
      <c r="U108" s="12"/>
      <c r="V108" s="12"/>
      <c r="W108" s="12"/>
      <c r="X108" s="12"/>
      <c r="Y108" s="12"/>
      <c r="Z108" s="12"/>
    </row>
    <row r="109" spans="1:26" ht="15" thickBot="1" x14ac:dyDescent="0.35">
      <c r="A109" s="15">
        <v>44153</v>
      </c>
      <c r="B109" s="16" t="s">
        <v>263</v>
      </c>
      <c r="C109" s="16" t="s">
        <v>264</v>
      </c>
      <c r="D109" s="16" t="s">
        <v>265</v>
      </c>
      <c r="E109" s="16" t="s">
        <v>281</v>
      </c>
      <c r="F109" s="17">
        <v>66</v>
      </c>
      <c r="G109" s="17">
        <v>1.87</v>
      </c>
      <c r="H109" s="17">
        <v>123</v>
      </c>
      <c r="I109" s="18" t="b">
        <f t="shared" si="2"/>
        <v>1</v>
      </c>
      <c r="J109" s="18" t="b">
        <f t="shared" si="3"/>
        <v>0</v>
      </c>
      <c r="K109" s="12"/>
      <c r="L109" s="12"/>
      <c r="M109" s="18" t="b">
        <v>1</v>
      </c>
      <c r="N109" s="18" t="b">
        <v>0</v>
      </c>
      <c r="O109" s="12"/>
      <c r="P109" s="12"/>
      <c r="Q109" s="12"/>
      <c r="R109" s="12"/>
      <c r="S109" s="12"/>
      <c r="T109" s="12"/>
      <c r="U109" s="12"/>
      <c r="V109" s="12"/>
      <c r="W109" s="12"/>
      <c r="X109" s="12"/>
      <c r="Y109" s="12"/>
      <c r="Z109" s="12"/>
    </row>
    <row r="110" spans="1:26" ht="28.2" thickBot="1" x14ac:dyDescent="0.35">
      <c r="A110" s="15">
        <v>44156</v>
      </c>
      <c r="B110" s="16" t="s">
        <v>263</v>
      </c>
      <c r="C110" s="16" t="s">
        <v>264</v>
      </c>
      <c r="D110" s="16" t="s">
        <v>272</v>
      </c>
      <c r="E110" s="16" t="s">
        <v>280</v>
      </c>
      <c r="F110" s="17">
        <v>97</v>
      </c>
      <c r="G110" s="17">
        <v>2.84</v>
      </c>
      <c r="H110" s="17">
        <v>275</v>
      </c>
      <c r="I110" s="18" t="b">
        <f t="shared" si="2"/>
        <v>1</v>
      </c>
      <c r="J110" s="18" t="b">
        <f t="shared" si="3"/>
        <v>0</v>
      </c>
      <c r="K110" s="12"/>
      <c r="L110" s="12"/>
      <c r="M110" s="18" t="b">
        <v>1</v>
      </c>
      <c r="N110" s="18" t="b">
        <v>0</v>
      </c>
      <c r="O110" s="12"/>
      <c r="P110" s="12"/>
      <c r="Q110" s="12"/>
      <c r="R110" s="12"/>
      <c r="S110" s="12"/>
      <c r="T110" s="12"/>
      <c r="U110" s="12"/>
      <c r="V110" s="12"/>
      <c r="W110" s="12"/>
      <c r="X110" s="12"/>
      <c r="Y110" s="12"/>
      <c r="Z110" s="12"/>
    </row>
    <row r="111" spans="1:26" ht="28.2" thickBot="1" x14ac:dyDescent="0.35">
      <c r="A111" s="15">
        <v>44159</v>
      </c>
      <c r="B111" s="16" t="s">
        <v>270</v>
      </c>
      <c r="C111" s="16" t="s">
        <v>271</v>
      </c>
      <c r="D111" s="16" t="s">
        <v>265</v>
      </c>
      <c r="E111" s="16" t="s">
        <v>266</v>
      </c>
      <c r="F111" s="17">
        <v>30</v>
      </c>
      <c r="G111" s="17">
        <v>1.77</v>
      </c>
      <c r="H111" s="17">
        <v>53</v>
      </c>
      <c r="I111" s="18" t="b">
        <f t="shared" si="2"/>
        <v>0</v>
      </c>
      <c r="J111" s="18" t="b">
        <f t="shared" si="3"/>
        <v>0</v>
      </c>
      <c r="K111" s="12"/>
      <c r="L111" s="12"/>
      <c r="M111" s="18" t="b">
        <v>0</v>
      </c>
      <c r="N111" s="18" t="b">
        <v>0</v>
      </c>
      <c r="O111" s="12"/>
      <c r="P111" s="12"/>
      <c r="Q111" s="12"/>
      <c r="R111" s="12"/>
      <c r="S111" s="12"/>
      <c r="T111" s="12"/>
      <c r="U111" s="12"/>
      <c r="V111" s="12"/>
      <c r="W111" s="12"/>
      <c r="X111" s="12"/>
      <c r="Y111" s="12"/>
      <c r="Z111" s="12"/>
    </row>
    <row r="112" spans="1:26" ht="28.2" thickBot="1" x14ac:dyDescent="0.35">
      <c r="A112" s="15">
        <v>44162</v>
      </c>
      <c r="B112" s="16" t="s">
        <v>270</v>
      </c>
      <c r="C112" s="16" t="s">
        <v>271</v>
      </c>
      <c r="D112" s="16" t="s">
        <v>278</v>
      </c>
      <c r="E112" s="16" t="s">
        <v>279</v>
      </c>
      <c r="F112" s="17">
        <v>29</v>
      </c>
      <c r="G112" s="17">
        <v>1.68</v>
      </c>
      <c r="H112" s="17">
        <v>49</v>
      </c>
      <c r="I112" s="18" t="b">
        <f t="shared" si="2"/>
        <v>0</v>
      </c>
      <c r="J112" s="18" t="b">
        <f t="shared" si="3"/>
        <v>0</v>
      </c>
      <c r="K112" s="12"/>
      <c r="L112" s="12"/>
      <c r="M112" s="18" t="b">
        <v>0</v>
      </c>
      <c r="N112" s="18" t="b">
        <v>0</v>
      </c>
      <c r="O112" s="12"/>
      <c r="P112" s="12"/>
      <c r="Q112" s="12"/>
      <c r="R112" s="12"/>
      <c r="S112" s="12"/>
      <c r="T112" s="12"/>
      <c r="U112" s="12"/>
      <c r="V112" s="12"/>
      <c r="W112" s="12"/>
      <c r="X112" s="12"/>
      <c r="Y112" s="12"/>
      <c r="Z112" s="12"/>
    </row>
    <row r="113" spans="1:26" ht="15" thickBot="1" x14ac:dyDescent="0.35">
      <c r="A113" s="15">
        <v>44165</v>
      </c>
      <c r="B113" s="16" t="s">
        <v>263</v>
      </c>
      <c r="C113" s="16" t="s">
        <v>274</v>
      </c>
      <c r="D113" s="16" t="s">
        <v>265</v>
      </c>
      <c r="E113" s="16" t="s">
        <v>266</v>
      </c>
      <c r="F113" s="17">
        <v>92</v>
      </c>
      <c r="G113" s="17">
        <v>1.77</v>
      </c>
      <c r="H113" s="17">
        <v>163</v>
      </c>
      <c r="I113" s="18" t="b">
        <f t="shared" si="2"/>
        <v>0</v>
      </c>
      <c r="J113" s="18" t="b">
        <f t="shared" si="3"/>
        <v>0</v>
      </c>
      <c r="K113" s="12"/>
      <c r="L113" s="12"/>
      <c r="M113" s="18" t="b">
        <v>0</v>
      </c>
      <c r="N113" s="18" t="b">
        <v>0</v>
      </c>
      <c r="O113" s="12"/>
      <c r="P113" s="12"/>
      <c r="Q113" s="12"/>
      <c r="R113" s="12"/>
      <c r="S113" s="12"/>
      <c r="T113" s="12"/>
      <c r="U113" s="12"/>
      <c r="V113" s="12"/>
      <c r="W113" s="12"/>
      <c r="X113" s="12"/>
      <c r="Y113" s="12"/>
      <c r="Z113" s="12"/>
    </row>
    <row r="114" spans="1:26" ht="28.2" thickBot="1" x14ac:dyDescent="0.35">
      <c r="A114" s="15">
        <v>44168</v>
      </c>
      <c r="B114" s="16" t="s">
        <v>270</v>
      </c>
      <c r="C114" s="16" t="s">
        <v>282</v>
      </c>
      <c r="D114" s="16" t="s">
        <v>272</v>
      </c>
      <c r="E114" s="16" t="s">
        <v>276</v>
      </c>
      <c r="F114" s="17">
        <v>139</v>
      </c>
      <c r="G114" s="17">
        <v>2.1800000000000002</v>
      </c>
      <c r="H114" s="17">
        <v>303</v>
      </c>
      <c r="I114" s="18" t="b">
        <f t="shared" si="2"/>
        <v>0</v>
      </c>
      <c r="J114" s="18" t="b">
        <f t="shared" si="3"/>
        <v>0</v>
      </c>
      <c r="K114" s="12"/>
      <c r="L114" s="12"/>
      <c r="M114" s="18" t="b">
        <v>0</v>
      </c>
      <c r="N114" s="18" t="b">
        <v>0</v>
      </c>
      <c r="O114" s="12"/>
      <c r="P114" s="12"/>
      <c r="Q114" s="12"/>
      <c r="R114" s="12"/>
      <c r="S114" s="12"/>
      <c r="T114" s="12"/>
      <c r="U114" s="12"/>
      <c r="V114" s="12"/>
      <c r="W114" s="12"/>
      <c r="X114" s="12"/>
      <c r="Y114" s="12"/>
      <c r="Z114" s="12"/>
    </row>
    <row r="115" spans="1:26" ht="28.2" thickBot="1" x14ac:dyDescent="0.35">
      <c r="A115" s="15">
        <v>44171</v>
      </c>
      <c r="B115" s="16" t="s">
        <v>270</v>
      </c>
      <c r="C115" s="16" t="s">
        <v>282</v>
      </c>
      <c r="D115" s="16" t="s">
        <v>272</v>
      </c>
      <c r="E115" s="16" t="s">
        <v>280</v>
      </c>
      <c r="F115" s="17">
        <v>29</v>
      </c>
      <c r="G115" s="17">
        <v>2.84</v>
      </c>
      <c r="H115" s="17">
        <v>82</v>
      </c>
      <c r="I115" s="18" t="b">
        <f t="shared" si="2"/>
        <v>0</v>
      </c>
      <c r="J115" s="18" t="b">
        <f t="shared" si="3"/>
        <v>0</v>
      </c>
      <c r="K115" s="12"/>
      <c r="L115" s="12"/>
      <c r="M115" s="18" t="b">
        <v>0</v>
      </c>
      <c r="N115" s="18" t="b">
        <v>0</v>
      </c>
      <c r="O115" s="12"/>
      <c r="P115" s="12"/>
      <c r="Q115" s="12"/>
      <c r="R115" s="12"/>
      <c r="S115" s="12"/>
      <c r="T115" s="12"/>
      <c r="U115" s="12"/>
      <c r="V115" s="12"/>
      <c r="W115" s="12"/>
      <c r="X115" s="12"/>
      <c r="Y115" s="12"/>
      <c r="Z115" s="12"/>
    </row>
    <row r="116" spans="1:26" ht="15" thickBot="1" x14ac:dyDescent="0.35">
      <c r="A116" s="15">
        <v>44174</v>
      </c>
      <c r="B116" s="16" t="s">
        <v>263</v>
      </c>
      <c r="C116" s="16" t="s">
        <v>264</v>
      </c>
      <c r="D116" s="16" t="s">
        <v>265</v>
      </c>
      <c r="E116" s="16" t="s">
        <v>284</v>
      </c>
      <c r="F116" s="17">
        <v>30</v>
      </c>
      <c r="G116" s="17">
        <v>2.27</v>
      </c>
      <c r="H116" s="17">
        <v>68</v>
      </c>
      <c r="I116" s="18" t="b">
        <f t="shared" si="2"/>
        <v>1</v>
      </c>
      <c r="J116" s="18" t="b">
        <f t="shared" si="3"/>
        <v>0</v>
      </c>
      <c r="K116" s="12"/>
      <c r="L116" s="12"/>
      <c r="M116" s="18" t="b">
        <v>1</v>
      </c>
      <c r="N116" s="18" t="b">
        <v>0</v>
      </c>
      <c r="O116" s="12"/>
      <c r="P116" s="12"/>
      <c r="Q116" s="12"/>
      <c r="R116" s="12"/>
      <c r="S116" s="12"/>
      <c r="T116" s="12"/>
      <c r="U116" s="12"/>
      <c r="V116" s="12"/>
      <c r="W116" s="12"/>
      <c r="X116" s="12"/>
      <c r="Y116" s="12"/>
      <c r="Z116" s="12"/>
    </row>
    <row r="117" spans="1:26" ht="28.2" thickBot="1" x14ac:dyDescent="0.35">
      <c r="A117" s="15">
        <v>44177</v>
      </c>
      <c r="B117" s="16" t="s">
        <v>263</v>
      </c>
      <c r="C117" s="16" t="s">
        <v>264</v>
      </c>
      <c r="D117" s="16" t="s">
        <v>272</v>
      </c>
      <c r="E117" s="16" t="s">
        <v>273</v>
      </c>
      <c r="F117" s="17">
        <v>36</v>
      </c>
      <c r="G117" s="17">
        <v>1.87</v>
      </c>
      <c r="H117" s="17">
        <v>67</v>
      </c>
      <c r="I117" s="18" t="b">
        <f t="shared" si="2"/>
        <v>1</v>
      </c>
      <c r="J117" s="18" t="b">
        <f t="shared" si="3"/>
        <v>0</v>
      </c>
      <c r="K117" s="12"/>
      <c r="L117" s="12"/>
      <c r="M117" s="18" t="b">
        <v>1</v>
      </c>
      <c r="N117" s="18" t="b">
        <v>0</v>
      </c>
      <c r="O117" s="12"/>
      <c r="P117" s="12"/>
      <c r="Q117" s="12"/>
      <c r="R117" s="12"/>
      <c r="S117" s="12"/>
      <c r="T117" s="12"/>
      <c r="U117" s="12"/>
      <c r="V117" s="12"/>
      <c r="W117" s="12"/>
      <c r="X117" s="12"/>
      <c r="Y117" s="12"/>
      <c r="Z117" s="12"/>
    </row>
    <row r="118" spans="1:26" ht="28.2" thickBot="1" x14ac:dyDescent="0.35">
      <c r="A118" s="15">
        <v>44180</v>
      </c>
      <c r="B118" s="16" t="s">
        <v>263</v>
      </c>
      <c r="C118" s="16" t="s">
        <v>264</v>
      </c>
      <c r="D118" s="16" t="s">
        <v>268</v>
      </c>
      <c r="E118" s="16" t="s">
        <v>269</v>
      </c>
      <c r="F118" s="17">
        <v>41</v>
      </c>
      <c r="G118" s="17">
        <v>3.49</v>
      </c>
      <c r="H118" s="17">
        <v>143</v>
      </c>
      <c r="I118" s="18" t="b">
        <f t="shared" si="2"/>
        <v>1</v>
      </c>
      <c r="J118" s="18" t="b">
        <f t="shared" si="3"/>
        <v>0</v>
      </c>
      <c r="K118" s="12"/>
      <c r="L118" s="12"/>
      <c r="M118" s="18" t="b">
        <v>1</v>
      </c>
      <c r="N118" s="18" t="b">
        <v>0</v>
      </c>
      <c r="O118" s="12"/>
      <c r="P118" s="12"/>
      <c r="Q118" s="12"/>
      <c r="R118" s="12"/>
      <c r="S118" s="12"/>
      <c r="T118" s="12"/>
      <c r="U118" s="12"/>
      <c r="V118" s="12"/>
      <c r="W118" s="12"/>
      <c r="X118" s="12"/>
      <c r="Y118" s="12"/>
      <c r="Z118" s="12"/>
    </row>
    <row r="119" spans="1:26" ht="28.2" thickBot="1" x14ac:dyDescent="0.35">
      <c r="A119" s="15">
        <v>44183</v>
      </c>
      <c r="B119" s="16" t="s">
        <v>270</v>
      </c>
      <c r="C119" s="16" t="s">
        <v>271</v>
      </c>
      <c r="D119" s="16" t="s">
        <v>265</v>
      </c>
      <c r="E119" s="16" t="s">
        <v>266</v>
      </c>
      <c r="F119" s="17">
        <v>44</v>
      </c>
      <c r="G119" s="17">
        <v>1.77</v>
      </c>
      <c r="H119" s="17">
        <v>78</v>
      </c>
      <c r="I119" s="18" t="b">
        <f t="shared" si="2"/>
        <v>0</v>
      </c>
      <c r="J119" s="18" t="b">
        <f t="shared" si="3"/>
        <v>0</v>
      </c>
      <c r="K119" s="12"/>
      <c r="L119" s="12"/>
      <c r="M119" s="18" t="b">
        <v>0</v>
      </c>
      <c r="N119" s="18" t="b">
        <v>0</v>
      </c>
      <c r="O119" s="12"/>
      <c r="P119" s="12"/>
      <c r="Q119" s="12"/>
      <c r="R119" s="12"/>
      <c r="S119" s="12"/>
      <c r="T119" s="12"/>
      <c r="U119" s="12"/>
      <c r="V119" s="12"/>
      <c r="W119" s="12"/>
      <c r="X119" s="12"/>
      <c r="Y119" s="12"/>
      <c r="Z119" s="12"/>
    </row>
    <row r="120" spans="1:26" ht="28.2" thickBot="1" x14ac:dyDescent="0.35">
      <c r="A120" s="15">
        <v>44186</v>
      </c>
      <c r="B120" s="16" t="s">
        <v>270</v>
      </c>
      <c r="C120" s="16" t="s">
        <v>271</v>
      </c>
      <c r="D120" s="16" t="s">
        <v>278</v>
      </c>
      <c r="E120" s="16" t="s">
        <v>279</v>
      </c>
      <c r="F120" s="17">
        <v>29</v>
      </c>
      <c r="G120" s="17">
        <v>1.68</v>
      </c>
      <c r="H120" s="17">
        <v>49</v>
      </c>
      <c r="I120" s="18" t="b">
        <f t="shared" si="2"/>
        <v>0</v>
      </c>
      <c r="J120" s="18" t="b">
        <f t="shared" si="3"/>
        <v>0</v>
      </c>
      <c r="K120" s="12"/>
      <c r="L120" s="12"/>
      <c r="M120" s="18" t="b">
        <v>0</v>
      </c>
      <c r="N120" s="18" t="b">
        <v>0</v>
      </c>
      <c r="O120" s="12"/>
      <c r="P120" s="12"/>
      <c r="Q120" s="12"/>
      <c r="R120" s="12"/>
      <c r="S120" s="12"/>
      <c r="T120" s="12"/>
      <c r="U120" s="12"/>
      <c r="V120" s="12"/>
      <c r="W120" s="12"/>
      <c r="X120" s="12"/>
      <c r="Y120" s="12"/>
      <c r="Z120" s="12"/>
    </row>
    <row r="121" spans="1:26" ht="28.2" thickBot="1" x14ac:dyDescent="0.35">
      <c r="A121" s="15">
        <v>44189</v>
      </c>
      <c r="B121" s="16" t="s">
        <v>263</v>
      </c>
      <c r="C121" s="16" t="s">
        <v>274</v>
      </c>
      <c r="D121" s="16" t="s">
        <v>272</v>
      </c>
      <c r="E121" s="16" t="s">
        <v>276</v>
      </c>
      <c r="F121" s="17">
        <v>237</v>
      </c>
      <c r="G121" s="17">
        <v>2.1800000000000002</v>
      </c>
      <c r="H121" s="17">
        <v>517</v>
      </c>
      <c r="I121" s="18" t="b">
        <f t="shared" si="2"/>
        <v>0</v>
      </c>
      <c r="J121" s="18" t="b">
        <f t="shared" si="3"/>
        <v>1</v>
      </c>
      <c r="K121" s="12"/>
      <c r="L121" s="12"/>
      <c r="M121" s="18" t="b">
        <v>0</v>
      </c>
      <c r="N121" s="18" t="b">
        <v>1</v>
      </c>
      <c r="O121" s="12"/>
      <c r="P121" s="12"/>
      <c r="Q121" s="12"/>
      <c r="R121" s="12"/>
      <c r="S121" s="12"/>
      <c r="T121" s="12"/>
      <c r="U121" s="12"/>
      <c r="V121" s="12"/>
      <c r="W121" s="12"/>
      <c r="X121" s="12"/>
      <c r="Y121" s="12"/>
      <c r="Z121" s="12"/>
    </row>
    <row r="122" spans="1:26" ht="28.2" thickBot="1" x14ac:dyDescent="0.35">
      <c r="A122" s="15">
        <v>44192</v>
      </c>
      <c r="B122" s="16" t="s">
        <v>263</v>
      </c>
      <c r="C122" s="16" t="s">
        <v>274</v>
      </c>
      <c r="D122" s="16" t="s">
        <v>272</v>
      </c>
      <c r="E122" s="16" t="s">
        <v>273</v>
      </c>
      <c r="F122" s="17">
        <v>65</v>
      </c>
      <c r="G122" s="17">
        <v>1.87</v>
      </c>
      <c r="H122" s="17">
        <v>122</v>
      </c>
      <c r="I122" s="18" t="b">
        <f t="shared" si="2"/>
        <v>1</v>
      </c>
      <c r="J122" s="18" t="b">
        <f t="shared" si="3"/>
        <v>0</v>
      </c>
      <c r="K122" s="12"/>
      <c r="L122" s="12"/>
      <c r="M122" s="18" t="b">
        <v>1</v>
      </c>
      <c r="N122" s="18" t="b">
        <v>0</v>
      </c>
      <c r="O122" s="12"/>
      <c r="P122" s="12"/>
      <c r="Q122" s="12"/>
      <c r="R122" s="12"/>
      <c r="S122" s="12"/>
      <c r="T122" s="12"/>
      <c r="U122" s="12"/>
      <c r="V122" s="12"/>
      <c r="W122" s="12"/>
      <c r="X122" s="12"/>
      <c r="Y122" s="12"/>
      <c r="Z122" s="12"/>
    </row>
    <row r="123" spans="1:26" ht="28.2" thickBot="1" x14ac:dyDescent="0.35">
      <c r="A123" s="15">
        <v>44195</v>
      </c>
      <c r="B123" s="16" t="s">
        <v>270</v>
      </c>
      <c r="C123" s="16" t="s">
        <v>282</v>
      </c>
      <c r="D123" s="16" t="s">
        <v>272</v>
      </c>
      <c r="E123" s="16" t="s">
        <v>276</v>
      </c>
      <c r="F123" s="17">
        <v>83</v>
      </c>
      <c r="G123" s="17">
        <v>2.1800000000000002</v>
      </c>
      <c r="H123" s="17">
        <v>181</v>
      </c>
      <c r="I123" s="18" t="b">
        <f t="shared" si="2"/>
        <v>0</v>
      </c>
      <c r="J123" s="18" t="b">
        <f t="shared" si="3"/>
        <v>0</v>
      </c>
      <c r="K123" s="12"/>
      <c r="L123" s="12"/>
      <c r="M123" s="18" t="b">
        <v>0</v>
      </c>
      <c r="N123" s="18" t="b">
        <v>0</v>
      </c>
      <c r="O123" s="12"/>
      <c r="P123" s="12"/>
      <c r="Q123" s="12"/>
      <c r="R123" s="12"/>
      <c r="S123" s="12"/>
      <c r="T123" s="12"/>
      <c r="U123" s="12"/>
      <c r="V123" s="12"/>
      <c r="W123" s="12"/>
      <c r="X123" s="12"/>
      <c r="Y123" s="12"/>
      <c r="Z123" s="12"/>
    </row>
    <row r="124" spans="1:26" ht="28.2" thickBot="1" x14ac:dyDescent="0.35">
      <c r="A124" s="15">
        <v>44198</v>
      </c>
      <c r="B124" s="16" t="s">
        <v>263</v>
      </c>
      <c r="C124" s="16" t="s">
        <v>264</v>
      </c>
      <c r="D124" s="16" t="s">
        <v>272</v>
      </c>
      <c r="E124" s="16" t="s">
        <v>276</v>
      </c>
      <c r="F124" s="17">
        <v>32</v>
      </c>
      <c r="G124" s="17">
        <v>2.1800000000000002</v>
      </c>
      <c r="H124" s="17">
        <v>70</v>
      </c>
      <c r="I124" s="18" t="b">
        <f t="shared" si="2"/>
        <v>1</v>
      </c>
      <c r="J124" s="18" t="b">
        <f t="shared" si="3"/>
        <v>0</v>
      </c>
      <c r="K124" s="12"/>
      <c r="L124" s="12"/>
      <c r="M124" s="18" t="b">
        <v>1</v>
      </c>
      <c r="N124" s="18" t="b">
        <v>0</v>
      </c>
      <c r="O124" s="12"/>
      <c r="P124" s="12"/>
      <c r="Q124" s="12"/>
      <c r="R124" s="12"/>
      <c r="S124" s="12"/>
      <c r="T124" s="12"/>
      <c r="U124" s="12"/>
      <c r="V124" s="12"/>
      <c r="W124" s="12"/>
      <c r="X124" s="12"/>
      <c r="Y124" s="12"/>
      <c r="Z124" s="12"/>
    </row>
    <row r="125" spans="1:26" ht="15" thickBot="1" x14ac:dyDescent="0.35">
      <c r="A125" s="15">
        <v>44201</v>
      </c>
      <c r="B125" s="16" t="s">
        <v>263</v>
      </c>
      <c r="C125" s="16" t="s">
        <v>264</v>
      </c>
      <c r="D125" s="16" t="s">
        <v>265</v>
      </c>
      <c r="E125" s="16" t="s">
        <v>266</v>
      </c>
      <c r="F125" s="17">
        <v>63</v>
      </c>
      <c r="G125" s="17">
        <v>1.77</v>
      </c>
      <c r="H125" s="17">
        <v>112</v>
      </c>
      <c r="I125" s="18" t="b">
        <f t="shared" si="2"/>
        <v>1</v>
      </c>
      <c r="J125" s="18" t="b">
        <f t="shared" si="3"/>
        <v>0</v>
      </c>
      <c r="K125" s="12"/>
      <c r="L125" s="12"/>
      <c r="M125" s="18" t="b">
        <v>1</v>
      </c>
      <c r="N125" s="18" t="b">
        <v>0</v>
      </c>
      <c r="O125" s="12"/>
      <c r="P125" s="12"/>
      <c r="Q125" s="12"/>
      <c r="R125" s="12"/>
      <c r="S125" s="12"/>
      <c r="T125" s="12"/>
      <c r="U125" s="12"/>
      <c r="V125" s="12"/>
      <c r="W125" s="12"/>
      <c r="X125" s="12"/>
      <c r="Y125" s="12"/>
      <c r="Z125" s="12"/>
    </row>
    <row r="126" spans="1:26" ht="15" thickBot="1" x14ac:dyDescent="0.35">
      <c r="A126" s="15">
        <v>44204</v>
      </c>
      <c r="B126" s="16" t="s">
        <v>263</v>
      </c>
      <c r="C126" s="16" t="s">
        <v>264</v>
      </c>
      <c r="D126" s="16" t="s">
        <v>278</v>
      </c>
      <c r="E126" s="16" t="s">
        <v>283</v>
      </c>
      <c r="F126" s="17">
        <v>29</v>
      </c>
      <c r="G126" s="17">
        <v>3.15</v>
      </c>
      <c r="H126" s="17">
        <v>91</v>
      </c>
      <c r="I126" s="18" t="b">
        <f t="shared" si="2"/>
        <v>1</v>
      </c>
      <c r="J126" s="18" t="b">
        <f t="shared" si="3"/>
        <v>0</v>
      </c>
      <c r="K126" s="12"/>
      <c r="L126" s="12"/>
      <c r="M126" s="18" t="b">
        <v>1</v>
      </c>
      <c r="N126" s="18" t="b">
        <v>0</v>
      </c>
      <c r="O126" s="12"/>
      <c r="P126" s="12"/>
      <c r="Q126" s="12"/>
      <c r="R126" s="12"/>
      <c r="S126" s="12"/>
      <c r="T126" s="12"/>
      <c r="U126" s="12"/>
      <c r="V126" s="12"/>
      <c r="W126" s="12"/>
      <c r="X126" s="12"/>
      <c r="Y126" s="12"/>
      <c r="Z126" s="12"/>
    </row>
    <row r="127" spans="1:26" ht="28.2" thickBot="1" x14ac:dyDescent="0.35">
      <c r="A127" s="15">
        <v>44207</v>
      </c>
      <c r="B127" s="16" t="s">
        <v>270</v>
      </c>
      <c r="C127" s="16" t="s">
        <v>271</v>
      </c>
      <c r="D127" s="16" t="s">
        <v>265</v>
      </c>
      <c r="E127" s="16" t="s">
        <v>281</v>
      </c>
      <c r="F127" s="17">
        <v>77</v>
      </c>
      <c r="G127" s="17">
        <v>1.87</v>
      </c>
      <c r="H127" s="17">
        <v>144</v>
      </c>
      <c r="I127" s="18" t="b">
        <f t="shared" si="2"/>
        <v>0</v>
      </c>
      <c r="J127" s="18" t="b">
        <f t="shared" si="3"/>
        <v>0</v>
      </c>
      <c r="K127" s="12"/>
      <c r="L127" s="12"/>
      <c r="M127" s="18" t="b">
        <v>0</v>
      </c>
      <c r="N127" s="18" t="b">
        <v>0</v>
      </c>
      <c r="O127" s="12"/>
      <c r="P127" s="12"/>
      <c r="Q127" s="12"/>
      <c r="R127" s="12"/>
      <c r="S127" s="12"/>
      <c r="T127" s="12"/>
      <c r="U127" s="12"/>
      <c r="V127" s="12"/>
      <c r="W127" s="12"/>
      <c r="X127" s="12"/>
      <c r="Y127" s="12"/>
      <c r="Z127" s="12"/>
    </row>
    <row r="128" spans="1:26" ht="28.2" thickBot="1" x14ac:dyDescent="0.35">
      <c r="A128" s="15">
        <v>44210</v>
      </c>
      <c r="B128" s="16" t="s">
        <v>270</v>
      </c>
      <c r="C128" s="16" t="s">
        <v>271</v>
      </c>
      <c r="D128" s="16" t="s">
        <v>272</v>
      </c>
      <c r="E128" s="16" t="s">
        <v>280</v>
      </c>
      <c r="F128" s="17">
        <v>80</v>
      </c>
      <c r="G128" s="17">
        <v>2.84</v>
      </c>
      <c r="H128" s="17">
        <v>227</v>
      </c>
      <c r="I128" s="18" t="b">
        <f t="shared" si="2"/>
        <v>0</v>
      </c>
      <c r="J128" s="18" t="b">
        <f t="shared" si="3"/>
        <v>0</v>
      </c>
      <c r="K128" s="12"/>
      <c r="L128" s="12"/>
      <c r="M128" s="18" t="b">
        <v>0</v>
      </c>
      <c r="N128" s="18" t="b">
        <v>0</v>
      </c>
      <c r="O128" s="12"/>
      <c r="P128" s="12"/>
      <c r="Q128" s="12"/>
      <c r="R128" s="12"/>
      <c r="S128" s="12"/>
      <c r="T128" s="12"/>
      <c r="U128" s="12"/>
      <c r="V128" s="12"/>
      <c r="W128" s="12"/>
      <c r="X128" s="12"/>
      <c r="Y128" s="12"/>
      <c r="Z128" s="12"/>
    </row>
    <row r="129" spans="1:26" ht="15" thickBot="1" x14ac:dyDescent="0.35">
      <c r="A129" s="15">
        <v>44213</v>
      </c>
      <c r="B129" s="16" t="s">
        <v>263</v>
      </c>
      <c r="C129" s="16" t="s">
        <v>274</v>
      </c>
      <c r="D129" s="16" t="s">
        <v>265</v>
      </c>
      <c r="E129" s="16" t="s">
        <v>266</v>
      </c>
      <c r="F129" s="17">
        <v>102</v>
      </c>
      <c r="G129" s="17">
        <v>1.77</v>
      </c>
      <c r="H129" s="17">
        <v>181</v>
      </c>
      <c r="I129" s="18" t="b">
        <f t="shared" si="2"/>
        <v>0</v>
      </c>
      <c r="J129" s="18" t="b">
        <f t="shared" si="3"/>
        <v>0</v>
      </c>
      <c r="K129" s="12"/>
      <c r="L129" s="12"/>
      <c r="M129" s="18" t="b">
        <v>0</v>
      </c>
      <c r="N129" s="18" t="b">
        <v>0</v>
      </c>
      <c r="O129" s="12"/>
      <c r="P129" s="12"/>
      <c r="Q129" s="12"/>
      <c r="R129" s="12"/>
      <c r="S129" s="12"/>
      <c r="T129" s="12"/>
      <c r="U129" s="12"/>
      <c r="V129" s="12"/>
      <c r="W129" s="12"/>
      <c r="X129" s="12"/>
      <c r="Y129" s="12"/>
      <c r="Z129" s="12"/>
    </row>
    <row r="130" spans="1:26" ht="28.2" thickBot="1" x14ac:dyDescent="0.35">
      <c r="A130" s="15">
        <v>44216</v>
      </c>
      <c r="B130" s="16" t="s">
        <v>263</v>
      </c>
      <c r="C130" s="16" t="s">
        <v>274</v>
      </c>
      <c r="D130" s="16" t="s">
        <v>268</v>
      </c>
      <c r="E130" s="16" t="s">
        <v>269</v>
      </c>
      <c r="F130" s="17">
        <v>31</v>
      </c>
      <c r="G130" s="17">
        <v>3.49</v>
      </c>
      <c r="H130" s="17">
        <v>108</v>
      </c>
      <c r="I130" s="18" t="b">
        <f t="shared" si="2"/>
        <v>0</v>
      </c>
      <c r="J130" s="18" t="b">
        <f t="shared" si="3"/>
        <v>0</v>
      </c>
      <c r="K130" s="12"/>
      <c r="L130" s="12"/>
      <c r="M130" s="18" t="b">
        <v>0</v>
      </c>
      <c r="N130" s="18" t="b">
        <v>0</v>
      </c>
      <c r="O130" s="12"/>
      <c r="P130" s="12"/>
      <c r="Q130" s="12"/>
      <c r="R130" s="12"/>
      <c r="S130" s="12"/>
      <c r="T130" s="12"/>
      <c r="U130" s="12"/>
      <c r="V130" s="12"/>
      <c r="W130" s="12"/>
      <c r="X130" s="12"/>
      <c r="Y130" s="12"/>
      <c r="Z130" s="12"/>
    </row>
    <row r="131" spans="1:26" ht="15" thickBot="1" x14ac:dyDescent="0.35">
      <c r="A131" s="15">
        <v>44219</v>
      </c>
      <c r="B131" s="16" t="s">
        <v>270</v>
      </c>
      <c r="C131" s="16" t="s">
        <v>282</v>
      </c>
      <c r="D131" s="16" t="s">
        <v>265</v>
      </c>
      <c r="E131" s="16" t="s">
        <v>266</v>
      </c>
      <c r="F131" s="17">
        <v>56</v>
      </c>
      <c r="G131" s="17">
        <v>1.77</v>
      </c>
      <c r="H131" s="17">
        <v>99</v>
      </c>
      <c r="I131" s="18" t="b">
        <f t="shared" ref="I131:I194" si="4">AND(OR(AND(B131="East", C131="Boston"), AND(D131="Cookies", E131="Chocolate Chip")), H131&lt;500)</f>
        <v>0</v>
      </c>
      <c r="J131" s="18" t="b">
        <f t="shared" ref="J131:J194" si="5">OR(
   AND(NOT(OR(B131="East", C131="Boston")), D131="Cookies", E131="Chocolate Chip"),
   H131&gt;500
)</f>
        <v>0</v>
      </c>
      <c r="K131" s="12"/>
      <c r="L131" s="12"/>
      <c r="M131" s="18" t="b">
        <v>0</v>
      </c>
      <c r="N131" s="18" t="b">
        <v>0</v>
      </c>
      <c r="O131" s="12"/>
      <c r="P131" s="12"/>
      <c r="Q131" s="12"/>
      <c r="R131" s="12"/>
      <c r="S131" s="12"/>
      <c r="T131" s="12"/>
      <c r="U131" s="12"/>
      <c r="V131" s="12"/>
      <c r="W131" s="12"/>
      <c r="X131" s="12"/>
      <c r="Y131" s="12"/>
      <c r="Z131" s="12"/>
    </row>
    <row r="132" spans="1:26" ht="28.2" thickBot="1" x14ac:dyDescent="0.35">
      <c r="A132" s="15">
        <v>44222</v>
      </c>
      <c r="B132" s="16" t="s">
        <v>263</v>
      </c>
      <c r="C132" s="16" t="s">
        <v>264</v>
      </c>
      <c r="D132" s="16" t="s">
        <v>272</v>
      </c>
      <c r="E132" s="16" t="s">
        <v>276</v>
      </c>
      <c r="F132" s="17">
        <v>52</v>
      </c>
      <c r="G132" s="17">
        <v>2.1800000000000002</v>
      </c>
      <c r="H132" s="17">
        <v>113</v>
      </c>
      <c r="I132" s="18" t="b">
        <f t="shared" si="4"/>
        <v>1</v>
      </c>
      <c r="J132" s="18" t="b">
        <f t="shared" si="5"/>
        <v>0</v>
      </c>
      <c r="K132" s="12"/>
      <c r="L132" s="12"/>
      <c r="M132" s="18" t="b">
        <v>1</v>
      </c>
      <c r="N132" s="18" t="b">
        <v>0</v>
      </c>
      <c r="O132" s="12"/>
      <c r="P132" s="12"/>
      <c r="Q132" s="12"/>
      <c r="R132" s="12"/>
      <c r="S132" s="12"/>
      <c r="T132" s="12"/>
      <c r="U132" s="12"/>
      <c r="V132" s="12"/>
      <c r="W132" s="12"/>
      <c r="X132" s="12"/>
      <c r="Y132" s="12"/>
      <c r="Z132" s="12"/>
    </row>
    <row r="133" spans="1:26" ht="15" thickBot="1" x14ac:dyDescent="0.35">
      <c r="A133" s="15">
        <v>44225</v>
      </c>
      <c r="B133" s="16" t="s">
        <v>263</v>
      </c>
      <c r="C133" s="16" t="s">
        <v>264</v>
      </c>
      <c r="D133" s="16" t="s">
        <v>265</v>
      </c>
      <c r="E133" s="16" t="s">
        <v>266</v>
      </c>
      <c r="F133" s="17">
        <v>51</v>
      </c>
      <c r="G133" s="17">
        <v>1.77</v>
      </c>
      <c r="H133" s="17">
        <v>90</v>
      </c>
      <c r="I133" s="18" t="b">
        <f t="shared" si="4"/>
        <v>1</v>
      </c>
      <c r="J133" s="18" t="b">
        <f t="shared" si="5"/>
        <v>0</v>
      </c>
      <c r="K133" s="12"/>
      <c r="L133" s="12"/>
      <c r="M133" s="18" t="b">
        <v>1</v>
      </c>
      <c r="N133" s="18" t="b">
        <v>0</v>
      </c>
      <c r="O133" s="12"/>
      <c r="P133" s="12"/>
      <c r="Q133" s="12"/>
      <c r="R133" s="12"/>
      <c r="S133" s="12"/>
      <c r="T133" s="12"/>
      <c r="U133" s="12"/>
      <c r="V133" s="12"/>
      <c r="W133" s="12"/>
      <c r="X133" s="12"/>
      <c r="Y133" s="12"/>
      <c r="Z133" s="12"/>
    </row>
    <row r="134" spans="1:26" ht="28.2" thickBot="1" x14ac:dyDescent="0.35">
      <c r="A134" s="15">
        <v>44228</v>
      </c>
      <c r="B134" s="16" t="s">
        <v>263</v>
      </c>
      <c r="C134" s="16" t="s">
        <v>264</v>
      </c>
      <c r="D134" s="16" t="s">
        <v>278</v>
      </c>
      <c r="E134" s="16" t="s">
        <v>279</v>
      </c>
      <c r="F134" s="17">
        <v>24</v>
      </c>
      <c r="G134" s="17">
        <v>1.68</v>
      </c>
      <c r="H134" s="17">
        <v>40</v>
      </c>
      <c r="I134" s="18" t="b">
        <f t="shared" si="4"/>
        <v>1</v>
      </c>
      <c r="J134" s="18" t="b">
        <f t="shared" si="5"/>
        <v>0</v>
      </c>
      <c r="K134" s="12"/>
      <c r="L134" s="12"/>
      <c r="M134" s="18" t="b">
        <v>1</v>
      </c>
      <c r="N134" s="18" t="b">
        <v>0</v>
      </c>
      <c r="O134" s="12"/>
      <c r="P134" s="12"/>
      <c r="Q134" s="12"/>
      <c r="R134" s="12"/>
      <c r="S134" s="12"/>
      <c r="T134" s="12"/>
      <c r="U134" s="12"/>
      <c r="V134" s="12"/>
      <c r="W134" s="12"/>
      <c r="X134" s="12"/>
      <c r="Y134" s="12"/>
      <c r="Z134" s="12"/>
    </row>
    <row r="135" spans="1:26" ht="28.2" thickBot="1" x14ac:dyDescent="0.35">
      <c r="A135" s="15">
        <v>44231</v>
      </c>
      <c r="B135" s="16" t="s">
        <v>270</v>
      </c>
      <c r="C135" s="16" t="s">
        <v>271</v>
      </c>
      <c r="D135" s="16" t="s">
        <v>272</v>
      </c>
      <c r="E135" s="16" t="s">
        <v>276</v>
      </c>
      <c r="F135" s="17">
        <v>58</v>
      </c>
      <c r="G135" s="17">
        <v>2.1800000000000002</v>
      </c>
      <c r="H135" s="17">
        <v>126</v>
      </c>
      <c r="I135" s="18" t="b">
        <f t="shared" si="4"/>
        <v>0</v>
      </c>
      <c r="J135" s="18" t="b">
        <f t="shared" si="5"/>
        <v>0</v>
      </c>
      <c r="K135" s="12"/>
      <c r="L135" s="12"/>
      <c r="M135" s="18" t="b">
        <v>0</v>
      </c>
      <c r="N135" s="18" t="b">
        <v>0</v>
      </c>
      <c r="O135" s="12"/>
      <c r="P135" s="12"/>
      <c r="Q135" s="12"/>
      <c r="R135" s="12"/>
      <c r="S135" s="12"/>
      <c r="T135" s="12"/>
      <c r="U135" s="12"/>
      <c r="V135" s="12"/>
      <c r="W135" s="12"/>
      <c r="X135" s="12"/>
      <c r="Y135" s="12"/>
      <c r="Z135" s="12"/>
    </row>
    <row r="136" spans="1:26" ht="28.2" thickBot="1" x14ac:dyDescent="0.35">
      <c r="A136" s="15">
        <v>44234</v>
      </c>
      <c r="B136" s="16" t="s">
        <v>270</v>
      </c>
      <c r="C136" s="16" t="s">
        <v>271</v>
      </c>
      <c r="D136" s="16" t="s">
        <v>272</v>
      </c>
      <c r="E136" s="16" t="s">
        <v>273</v>
      </c>
      <c r="F136" s="17">
        <v>34</v>
      </c>
      <c r="G136" s="17">
        <v>1.87</v>
      </c>
      <c r="H136" s="17">
        <v>64</v>
      </c>
      <c r="I136" s="18" t="b">
        <f t="shared" si="4"/>
        <v>1</v>
      </c>
      <c r="J136" s="18" t="b">
        <f t="shared" si="5"/>
        <v>1</v>
      </c>
      <c r="K136" s="12"/>
      <c r="L136" s="12"/>
      <c r="M136" s="18" t="b">
        <v>1</v>
      </c>
      <c r="N136" s="18" t="b">
        <v>1</v>
      </c>
      <c r="O136" s="12"/>
      <c r="P136" s="12"/>
      <c r="Q136" s="12"/>
      <c r="R136" s="12"/>
      <c r="S136" s="12"/>
      <c r="T136" s="12"/>
      <c r="U136" s="12"/>
      <c r="V136" s="12"/>
      <c r="W136" s="12"/>
      <c r="X136" s="12"/>
      <c r="Y136" s="12"/>
      <c r="Z136" s="12"/>
    </row>
    <row r="137" spans="1:26" ht="15" thickBot="1" x14ac:dyDescent="0.35">
      <c r="A137" s="15">
        <v>44237</v>
      </c>
      <c r="B137" s="16" t="s">
        <v>263</v>
      </c>
      <c r="C137" s="16" t="s">
        <v>274</v>
      </c>
      <c r="D137" s="16" t="s">
        <v>265</v>
      </c>
      <c r="E137" s="16" t="s">
        <v>266</v>
      </c>
      <c r="F137" s="17">
        <v>34</v>
      </c>
      <c r="G137" s="17">
        <v>1.77</v>
      </c>
      <c r="H137" s="17">
        <v>60</v>
      </c>
      <c r="I137" s="18" t="b">
        <f t="shared" si="4"/>
        <v>0</v>
      </c>
      <c r="J137" s="18" t="b">
        <f t="shared" si="5"/>
        <v>0</v>
      </c>
      <c r="K137" s="12"/>
      <c r="L137" s="12"/>
      <c r="M137" s="18" t="b">
        <v>0</v>
      </c>
      <c r="N137" s="18" t="b">
        <v>0</v>
      </c>
      <c r="O137" s="12"/>
      <c r="P137" s="12"/>
      <c r="Q137" s="12"/>
      <c r="R137" s="12"/>
      <c r="S137" s="12"/>
      <c r="T137" s="12"/>
      <c r="U137" s="12"/>
      <c r="V137" s="12"/>
      <c r="W137" s="12"/>
      <c r="X137" s="12"/>
      <c r="Y137" s="12"/>
      <c r="Z137" s="12"/>
    </row>
    <row r="138" spans="1:26" ht="28.2" thickBot="1" x14ac:dyDescent="0.35">
      <c r="A138" s="15">
        <v>44240</v>
      </c>
      <c r="B138" s="16" t="s">
        <v>263</v>
      </c>
      <c r="C138" s="16" t="s">
        <v>274</v>
      </c>
      <c r="D138" s="16" t="s">
        <v>278</v>
      </c>
      <c r="E138" s="16" t="s">
        <v>279</v>
      </c>
      <c r="F138" s="17">
        <v>21</v>
      </c>
      <c r="G138" s="17">
        <v>1.68</v>
      </c>
      <c r="H138" s="17">
        <v>35</v>
      </c>
      <c r="I138" s="18" t="b">
        <f t="shared" si="4"/>
        <v>0</v>
      </c>
      <c r="J138" s="18" t="b">
        <f t="shared" si="5"/>
        <v>0</v>
      </c>
      <c r="K138" s="12"/>
      <c r="L138" s="12"/>
      <c r="M138" s="18" t="b">
        <v>0</v>
      </c>
      <c r="N138" s="18" t="b">
        <v>0</v>
      </c>
      <c r="O138" s="12"/>
      <c r="P138" s="12"/>
      <c r="Q138" s="12"/>
      <c r="R138" s="12"/>
      <c r="S138" s="12"/>
      <c r="T138" s="12"/>
      <c r="U138" s="12"/>
      <c r="V138" s="12"/>
      <c r="W138" s="12"/>
      <c r="X138" s="12"/>
      <c r="Y138" s="12"/>
      <c r="Z138" s="12"/>
    </row>
    <row r="139" spans="1:26" ht="28.2" thickBot="1" x14ac:dyDescent="0.35">
      <c r="A139" s="15">
        <v>44243</v>
      </c>
      <c r="B139" s="16" t="s">
        <v>270</v>
      </c>
      <c r="C139" s="16" t="s">
        <v>282</v>
      </c>
      <c r="D139" s="16" t="s">
        <v>272</v>
      </c>
      <c r="E139" s="16" t="s">
        <v>280</v>
      </c>
      <c r="F139" s="17">
        <v>29</v>
      </c>
      <c r="G139" s="17">
        <v>2.84</v>
      </c>
      <c r="H139" s="17">
        <v>82</v>
      </c>
      <c r="I139" s="18" t="b">
        <f t="shared" si="4"/>
        <v>0</v>
      </c>
      <c r="J139" s="18" t="b">
        <f t="shared" si="5"/>
        <v>0</v>
      </c>
      <c r="K139" s="12"/>
      <c r="L139" s="12"/>
      <c r="M139" s="18" t="b">
        <v>0</v>
      </c>
      <c r="N139" s="18" t="b">
        <v>0</v>
      </c>
      <c r="O139" s="12"/>
      <c r="P139" s="12"/>
      <c r="Q139" s="12"/>
      <c r="R139" s="12"/>
      <c r="S139" s="12"/>
      <c r="T139" s="12"/>
      <c r="U139" s="12"/>
      <c r="V139" s="12"/>
      <c r="W139" s="12"/>
      <c r="X139" s="12"/>
      <c r="Y139" s="12"/>
      <c r="Z139" s="12"/>
    </row>
    <row r="140" spans="1:26" ht="15" thickBot="1" x14ac:dyDescent="0.35">
      <c r="A140" s="15">
        <v>44246</v>
      </c>
      <c r="B140" s="16" t="s">
        <v>263</v>
      </c>
      <c r="C140" s="16" t="s">
        <v>264</v>
      </c>
      <c r="D140" s="16" t="s">
        <v>265</v>
      </c>
      <c r="E140" s="16" t="s">
        <v>266</v>
      </c>
      <c r="F140" s="17">
        <v>68</v>
      </c>
      <c r="G140" s="17">
        <v>1.77</v>
      </c>
      <c r="H140" s="17">
        <v>120</v>
      </c>
      <c r="I140" s="18" t="b">
        <f t="shared" si="4"/>
        <v>1</v>
      </c>
      <c r="J140" s="18" t="b">
        <f t="shared" si="5"/>
        <v>0</v>
      </c>
      <c r="K140" s="12"/>
      <c r="L140" s="12"/>
      <c r="M140" s="18" t="b">
        <v>1</v>
      </c>
      <c r="N140" s="18" t="b">
        <v>0</v>
      </c>
      <c r="O140" s="12"/>
      <c r="P140" s="12"/>
      <c r="Q140" s="12"/>
      <c r="R140" s="12"/>
      <c r="S140" s="12"/>
      <c r="T140" s="12"/>
      <c r="U140" s="12"/>
      <c r="V140" s="12"/>
      <c r="W140" s="12"/>
      <c r="X140" s="12"/>
      <c r="Y140" s="12"/>
      <c r="Z140" s="12"/>
    </row>
    <row r="141" spans="1:26" ht="15" thickBot="1" x14ac:dyDescent="0.35">
      <c r="A141" s="15">
        <v>44249</v>
      </c>
      <c r="B141" s="16" t="s">
        <v>263</v>
      </c>
      <c r="C141" s="16" t="s">
        <v>264</v>
      </c>
      <c r="D141" s="16" t="s">
        <v>278</v>
      </c>
      <c r="E141" s="16" t="s">
        <v>283</v>
      </c>
      <c r="F141" s="17">
        <v>31</v>
      </c>
      <c r="G141" s="17">
        <v>3.15</v>
      </c>
      <c r="H141" s="17">
        <v>98</v>
      </c>
      <c r="I141" s="18" t="b">
        <f t="shared" si="4"/>
        <v>1</v>
      </c>
      <c r="J141" s="18" t="b">
        <f t="shared" si="5"/>
        <v>0</v>
      </c>
      <c r="K141" s="12"/>
      <c r="L141" s="12"/>
      <c r="M141" s="18" t="b">
        <v>1</v>
      </c>
      <c r="N141" s="18" t="b">
        <v>0</v>
      </c>
      <c r="O141" s="12"/>
      <c r="P141" s="12"/>
      <c r="Q141" s="12"/>
      <c r="R141" s="12"/>
      <c r="S141" s="12"/>
      <c r="T141" s="12"/>
      <c r="U141" s="12"/>
      <c r="V141" s="12"/>
      <c r="W141" s="12"/>
      <c r="X141" s="12"/>
      <c r="Y141" s="12"/>
      <c r="Z141" s="12"/>
    </row>
    <row r="142" spans="1:26" ht="28.2" thickBot="1" x14ac:dyDescent="0.35">
      <c r="A142" s="15">
        <v>44252</v>
      </c>
      <c r="B142" s="16" t="s">
        <v>270</v>
      </c>
      <c r="C142" s="16" t="s">
        <v>271</v>
      </c>
      <c r="D142" s="16" t="s">
        <v>272</v>
      </c>
      <c r="E142" s="16" t="s">
        <v>276</v>
      </c>
      <c r="F142" s="17">
        <v>30</v>
      </c>
      <c r="G142" s="17">
        <v>2.1800000000000002</v>
      </c>
      <c r="H142" s="17">
        <v>65</v>
      </c>
      <c r="I142" s="18" t="b">
        <f t="shared" si="4"/>
        <v>0</v>
      </c>
      <c r="J142" s="18" t="b">
        <f t="shared" si="5"/>
        <v>0</v>
      </c>
      <c r="K142" s="12"/>
      <c r="L142" s="12"/>
      <c r="M142" s="18" t="b">
        <v>0</v>
      </c>
      <c r="N142" s="18" t="b">
        <v>0</v>
      </c>
      <c r="O142" s="12"/>
      <c r="P142" s="12"/>
      <c r="Q142" s="12"/>
      <c r="R142" s="12"/>
      <c r="S142" s="12"/>
      <c r="T142" s="12"/>
      <c r="U142" s="12"/>
      <c r="V142" s="12"/>
      <c r="W142" s="12"/>
      <c r="X142" s="12"/>
      <c r="Y142" s="12"/>
      <c r="Z142" s="12"/>
    </row>
    <row r="143" spans="1:26" ht="28.2" thickBot="1" x14ac:dyDescent="0.35">
      <c r="A143" s="15">
        <v>44255</v>
      </c>
      <c r="B143" s="16" t="s">
        <v>270</v>
      </c>
      <c r="C143" s="16" t="s">
        <v>271</v>
      </c>
      <c r="D143" s="16" t="s">
        <v>272</v>
      </c>
      <c r="E143" s="16" t="s">
        <v>273</v>
      </c>
      <c r="F143" s="17">
        <v>232</v>
      </c>
      <c r="G143" s="17">
        <v>1.87</v>
      </c>
      <c r="H143" s="17">
        <v>434</v>
      </c>
      <c r="I143" s="18" t="b">
        <f t="shared" si="4"/>
        <v>1</v>
      </c>
      <c r="J143" s="18" t="b">
        <f t="shared" si="5"/>
        <v>1</v>
      </c>
      <c r="K143" s="12"/>
      <c r="L143" s="12"/>
      <c r="M143" s="18" t="b">
        <v>1</v>
      </c>
      <c r="N143" s="18" t="b">
        <v>1</v>
      </c>
      <c r="O143" s="12"/>
      <c r="P143" s="12"/>
      <c r="Q143" s="12"/>
      <c r="R143" s="12"/>
      <c r="S143" s="12"/>
      <c r="T143" s="12"/>
      <c r="U143" s="12"/>
      <c r="V143" s="12"/>
      <c r="W143" s="12"/>
      <c r="X143" s="12"/>
      <c r="Y143" s="12"/>
      <c r="Z143" s="12"/>
    </row>
    <row r="144" spans="1:26" ht="15" thickBot="1" x14ac:dyDescent="0.35">
      <c r="A144" s="15">
        <v>44257</v>
      </c>
      <c r="B144" s="16" t="s">
        <v>263</v>
      </c>
      <c r="C144" s="16" t="s">
        <v>274</v>
      </c>
      <c r="D144" s="16" t="s">
        <v>265</v>
      </c>
      <c r="E144" s="16" t="s">
        <v>281</v>
      </c>
      <c r="F144" s="17">
        <v>68</v>
      </c>
      <c r="G144" s="17">
        <v>1.87</v>
      </c>
      <c r="H144" s="17">
        <v>127</v>
      </c>
      <c r="I144" s="18" t="b">
        <f t="shared" si="4"/>
        <v>0</v>
      </c>
      <c r="J144" s="18" t="b">
        <f t="shared" si="5"/>
        <v>0</v>
      </c>
      <c r="K144" s="12"/>
      <c r="L144" s="12"/>
      <c r="M144" s="18" t="b">
        <v>0</v>
      </c>
      <c r="N144" s="18" t="b">
        <v>0</v>
      </c>
      <c r="O144" s="12"/>
      <c r="P144" s="12"/>
      <c r="Q144" s="12"/>
      <c r="R144" s="12"/>
      <c r="S144" s="12"/>
      <c r="T144" s="12"/>
      <c r="U144" s="12"/>
      <c r="V144" s="12"/>
      <c r="W144" s="12"/>
      <c r="X144" s="12"/>
      <c r="Y144" s="12"/>
      <c r="Z144" s="12"/>
    </row>
    <row r="145" spans="1:26" ht="28.2" thickBot="1" x14ac:dyDescent="0.35">
      <c r="A145" s="15">
        <v>44260</v>
      </c>
      <c r="B145" s="16" t="s">
        <v>263</v>
      </c>
      <c r="C145" s="16" t="s">
        <v>274</v>
      </c>
      <c r="D145" s="16" t="s">
        <v>272</v>
      </c>
      <c r="E145" s="16" t="s">
        <v>280</v>
      </c>
      <c r="F145" s="17">
        <v>97</v>
      </c>
      <c r="G145" s="17">
        <v>2.84</v>
      </c>
      <c r="H145" s="17">
        <v>275</v>
      </c>
      <c r="I145" s="18" t="b">
        <f t="shared" si="4"/>
        <v>0</v>
      </c>
      <c r="J145" s="18" t="b">
        <f t="shared" si="5"/>
        <v>0</v>
      </c>
      <c r="K145" s="12"/>
      <c r="L145" s="12"/>
      <c r="M145" s="18" t="b">
        <v>0</v>
      </c>
      <c r="N145" s="18" t="b">
        <v>0</v>
      </c>
      <c r="O145" s="12"/>
      <c r="P145" s="12"/>
      <c r="Q145" s="12"/>
      <c r="R145" s="12"/>
      <c r="S145" s="12"/>
      <c r="T145" s="12"/>
      <c r="U145" s="12"/>
      <c r="V145" s="12"/>
      <c r="W145" s="12"/>
      <c r="X145" s="12"/>
      <c r="Y145" s="12"/>
      <c r="Z145" s="12"/>
    </row>
    <row r="146" spans="1:26" ht="15" thickBot="1" x14ac:dyDescent="0.35">
      <c r="A146" s="15">
        <v>44263</v>
      </c>
      <c r="B146" s="16" t="s">
        <v>270</v>
      </c>
      <c r="C146" s="16" t="s">
        <v>282</v>
      </c>
      <c r="D146" s="16" t="s">
        <v>265</v>
      </c>
      <c r="E146" s="16" t="s">
        <v>281</v>
      </c>
      <c r="F146" s="17">
        <v>86</v>
      </c>
      <c r="G146" s="17">
        <v>1.87</v>
      </c>
      <c r="H146" s="17">
        <v>161</v>
      </c>
      <c r="I146" s="18" t="b">
        <f t="shared" si="4"/>
        <v>0</v>
      </c>
      <c r="J146" s="18" t="b">
        <f t="shared" si="5"/>
        <v>0</v>
      </c>
      <c r="K146" s="12"/>
      <c r="L146" s="12"/>
      <c r="M146" s="18" t="b">
        <v>0</v>
      </c>
      <c r="N146" s="18" t="b">
        <v>0</v>
      </c>
      <c r="O146" s="12"/>
      <c r="P146" s="12"/>
      <c r="Q146" s="12"/>
      <c r="R146" s="12"/>
      <c r="S146" s="12"/>
      <c r="T146" s="12"/>
      <c r="U146" s="12"/>
      <c r="V146" s="12"/>
      <c r="W146" s="12"/>
      <c r="X146" s="12"/>
      <c r="Y146" s="12"/>
      <c r="Z146" s="12"/>
    </row>
    <row r="147" spans="1:26" ht="28.2" thickBot="1" x14ac:dyDescent="0.35">
      <c r="A147" s="15">
        <v>44266</v>
      </c>
      <c r="B147" s="16" t="s">
        <v>270</v>
      </c>
      <c r="C147" s="16" t="s">
        <v>282</v>
      </c>
      <c r="D147" s="16" t="s">
        <v>278</v>
      </c>
      <c r="E147" s="16" t="s">
        <v>279</v>
      </c>
      <c r="F147" s="17">
        <v>41</v>
      </c>
      <c r="G147" s="17">
        <v>1.68</v>
      </c>
      <c r="H147" s="17">
        <v>69</v>
      </c>
      <c r="I147" s="18" t="b">
        <f t="shared" si="4"/>
        <v>0</v>
      </c>
      <c r="J147" s="18" t="b">
        <f t="shared" si="5"/>
        <v>0</v>
      </c>
      <c r="K147" s="12"/>
      <c r="L147" s="12"/>
      <c r="M147" s="18" t="b">
        <v>0</v>
      </c>
      <c r="N147" s="18" t="b">
        <v>0</v>
      </c>
      <c r="O147" s="12"/>
      <c r="P147" s="12"/>
      <c r="Q147" s="12"/>
      <c r="R147" s="12"/>
      <c r="S147" s="12"/>
      <c r="T147" s="12"/>
      <c r="U147" s="12"/>
      <c r="V147" s="12"/>
      <c r="W147" s="12"/>
      <c r="X147" s="12"/>
      <c r="Y147" s="12"/>
      <c r="Z147" s="12"/>
    </row>
    <row r="148" spans="1:26" ht="15" thickBot="1" x14ac:dyDescent="0.35">
      <c r="A148" s="15">
        <v>44269</v>
      </c>
      <c r="B148" s="16" t="s">
        <v>263</v>
      </c>
      <c r="C148" s="16" t="s">
        <v>264</v>
      </c>
      <c r="D148" s="16" t="s">
        <v>265</v>
      </c>
      <c r="E148" s="16" t="s">
        <v>266</v>
      </c>
      <c r="F148" s="17">
        <v>93</v>
      </c>
      <c r="G148" s="17">
        <v>1.77</v>
      </c>
      <c r="H148" s="17">
        <v>165</v>
      </c>
      <c r="I148" s="18" t="b">
        <f t="shared" si="4"/>
        <v>1</v>
      </c>
      <c r="J148" s="18" t="b">
        <f t="shared" si="5"/>
        <v>0</v>
      </c>
      <c r="K148" s="12"/>
      <c r="L148" s="12"/>
      <c r="M148" s="18" t="b">
        <v>1</v>
      </c>
      <c r="N148" s="18" t="b">
        <v>0</v>
      </c>
      <c r="O148" s="12"/>
      <c r="P148" s="12"/>
      <c r="Q148" s="12"/>
      <c r="R148" s="12"/>
      <c r="S148" s="12"/>
      <c r="T148" s="12"/>
      <c r="U148" s="12"/>
      <c r="V148" s="12"/>
      <c r="W148" s="12"/>
      <c r="X148" s="12"/>
      <c r="Y148" s="12"/>
      <c r="Z148" s="12"/>
    </row>
    <row r="149" spans="1:26" ht="28.2" thickBot="1" x14ac:dyDescent="0.35">
      <c r="A149" s="15">
        <v>44272</v>
      </c>
      <c r="B149" s="16" t="s">
        <v>263</v>
      </c>
      <c r="C149" s="16" t="s">
        <v>264</v>
      </c>
      <c r="D149" s="16" t="s">
        <v>278</v>
      </c>
      <c r="E149" s="16" t="s">
        <v>279</v>
      </c>
      <c r="F149" s="17">
        <v>47</v>
      </c>
      <c r="G149" s="17">
        <v>1.68</v>
      </c>
      <c r="H149" s="17">
        <v>79</v>
      </c>
      <c r="I149" s="18" t="b">
        <f t="shared" si="4"/>
        <v>1</v>
      </c>
      <c r="J149" s="18" t="b">
        <f t="shared" si="5"/>
        <v>0</v>
      </c>
      <c r="K149" s="12"/>
      <c r="L149" s="12"/>
      <c r="M149" s="18" t="b">
        <v>1</v>
      </c>
      <c r="N149" s="18" t="b">
        <v>0</v>
      </c>
      <c r="O149" s="12"/>
      <c r="P149" s="12"/>
      <c r="Q149" s="12"/>
      <c r="R149" s="12"/>
      <c r="S149" s="12"/>
      <c r="T149" s="12"/>
      <c r="U149" s="12"/>
      <c r="V149" s="12"/>
      <c r="W149" s="12"/>
      <c r="X149" s="12"/>
      <c r="Y149" s="12"/>
      <c r="Z149" s="12"/>
    </row>
    <row r="150" spans="1:26" ht="28.2" thickBot="1" x14ac:dyDescent="0.35">
      <c r="A150" s="15">
        <v>44275</v>
      </c>
      <c r="B150" s="16" t="s">
        <v>270</v>
      </c>
      <c r="C150" s="16" t="s">
        <v>271</v>
      </c>
      <c r="D150" s="16" t="s">
        <v>265</v>
      </c>
      <c r="E150" s="16" t="s">
        <v>266</v>
      </c>
      <c r="F150" s="17">
        <v>103</v>
      </c>
      <c r="G150" s="17">
        <v>1.77</v>
      </c>
      <c r="H150" s="17">
        <v>182</v>
      </c>
      <c r="I150" s="18" t="b">
        <f t="shared" si="4"/>
        <v>0</v>
      </c>
      <c r="J150" s="18" t="b">
        <f t="shared" si="5"/>
        <v>0</v>
      </c>
      <c r="K150" s="12"/>
      <c r="L150" s="12"/>
      <c r="M150" s="18" t="b">
        <v>0</v>
      </c>
      <c r="N150" s="18" t="b">
        <v>0</v>
      </c>
      <c r="O150" s="12"/>
      <c r="P150" s="12"/>
      <c r="Q150" s="12"/>
      <c r="R150" s="12"/>
      <c r="S150" s="12"/>
      <c r="T150" s="12"/>
      <c r="U150" s="12"/>
      <c r="V150" s="12"/>
      <c r="W150" s="12"/>
      <c r="X150" s="12"/>
      <c r="Y150" s="12"/>
      <c r="Z150" s="12"/>
    </row>
    <row r="151" spans="1:26" ht="28.2" thickBot="1" x14ac:dyDescent="0.35">
      <c r="A151" s="15">
        <v>44278</v>
      </c>
      <c r="B151" s="16" t="s">
        <v>270</v>
      </c>
      <c r="C151" s="16" t="s">
        <v>271</v>
      </c>
      <c r="D151" s="16" t="s">
        <v>278</v>
      </c>
      <c r="E151" s="16" t="s">
        <v>279</v>
      </c>
      <c r="F151" s="17">
        <v>33</v>
      </c>
      <c r="G151" s="17">
        <v>1.68</v>
      </c>
      <c r="H151" s="17">
        <v>55</v>
      </c>
      <c r="I151" s="18" t="b">
        <f t="shared" si="4"/>
        <v>0</v>
      </c>
      <c r="J151" s="18" t="b">
        <f t="shared" si="5"/>
        <v>0</v>
      </c>
      <c r="K151" s="12"/>
      <c r="L151" s="12"/>
      <c r="M151" s="18" t="b">
        <v>0</v>
      </c>
      <c r="N151" s="18" t="b">
        <v>0</v>
      </c>
      <c r="O151" s="12"/>
      <c r="P151" s="12"/>
      <c r="Q151" s="12"/>
      <c r="R151" s="12"/>
      <c r="S151" s="12"/>
      <c r="T151" s="12"/>
      <c r="U151" s="12"/>
      <c r="V151" s="12"/>
      <c r="W151" s="12"/>
      <c r="X151" s="12"/>
      <c r="Y151" s="12"/>
      <c r="Z151" s="12"/>
    </row>
    <row r="152" spans="1:26" ht="15" thickBot="1" x14ac:dyDescent="0.35">
      <c r="A152" s="15">
        <v>44281</v>
      </c>
      <c r="B152" s="16" t="s">
        <v>263</v>
      </c>
      <c r="C152" s="16" t="s">
        <v>274</v>
      </c>
      <c r="D152" s="16" t="s">
        <v>265</v>
      </c>
      <c r="E152" s="16" t="s">
        <v>281</v>
      </c>
      <c r="F152" s="17">
        <v>57</v>
      </c>
      <c r="G152" s="17">
        <v>1.87</v>
      </c>
      <c r="H152" s="17">
        <v>107</v>
      </c>
      <c r="I152" s="18" t="b">
        <f t="shared" si="4"/>
        <v>0</v>
      </c>
      <c r="J152" s="18" t="b">
        <f t="shared" si="5"/>
        <v>0</v>
      </c>
      <c r="K152" s="12"/>
      <c r="L152" s="12"/>
      <c r="M152" s="18" t="b">
        <v>0</v>
      </c>
      <c r="N152" s="18" t="b">
        <v>0</v>
      </c>
      <c r="O152" s="12"/>
      <c r="P152" s="12"/>
      <c r="Q152" s="12"/>
      <c r="R152" s="12"/>
      <c r="S152" s="12"/>
      <c r="T152" s="12"/>
      <c r="U152" s="12"/>
      <c r="V152" s="12"/>
      <c r="W152" s="12"/>
      <c r="X152" s="12"/>
      <c r="Y152" s="12"/>
      <c r="Z152" s="12"/>
    </row>
    <row r="153" spans="1:26" ht="28.2" thickBot="1" x14ac:dyDescent="0.35">
      <c r="A153" s="15">
        <v>44284</v>
      </c>
      <c r="B153" s="16" t="s">
        <v>263</v>
      </c>
      <c r="C153" s="16" t="s">
        <v>274</v>
      </c>
      <c r="D153" s="16" t="s">
        <v>272</v>
      </c>
      <c r="E153" s="16" t="s">
        <v>280</v>
      </c>
      <c r="F153" s="17">
        <v>65</v>
      </c>
      <c r="G153" s="17">
        <v>2.84</v>
      </c>
      <c r="H153" s="17">
        <v>185</v>
      </c>
      <c r="I153" s="18" t="b">
        <f t="shared" si="4"/>
        <v>0</v>
      </c>
      <c r="J153" s="18" t="b">
        <f t="shared" si="5"/>
        <v>0</v>
      </c>
      <c r="K153" s="12"/>
      <c r="L153" s="12"/>
      <c r="M153" s="18" t="b">
        <v>0</v>
      </c>
      <c r="N153" s="18" t="b">
        <v>0</v>
      </c>
      <c r="O153" s="12"/>
      <c r="P153" s="12"/>
      <c r="Q153" s="12"/>
      <c r="R153" s="12"/>
      <c r="S153" s="12"/>
      <c r="T153" s="12"/>
      <c r="U153" s="12"/>
      <c r="V153" s="12"/>
      <c r="W153" s="12"/>
      <c r="X153" s="12"/>
      <c r="Y153" s="12"/>
      <c r="Z153" s="12"/>
    </row>
    <row r="154" spans="1:26" ht="15" thickBot="1" x14ac:dyDescent="0.35">
      <c r="A154" s="15">
        <v>44287</v>
      </c>
      <c r="B154" s="16" t="s">
        <v>270</v>
      </c>
      <c r="C154" s="16" t="s">
        <v>282</v>
      </c>
      <c r="D154" s="16" t="s">
        <v>265</v>
      </c>
      <c r="E154" s="16" t="s">
        <v>266</v>
      </c>
      <c r="F154" s="17">
        <v>118</v>
      </c>
      <c r="G154" s="17">
        <v>1.77</v>
      </c>
      <c r="H154" s="17">
        <v>209</v>
      </c>
      <c r="I154" s="18" t="b">
        <f t="shared" si="4"/>
        <v>0</v>
      </c>
      <c r="J154" s="18" t="b">
        <f t="shared" si="5"/>
        <v>0</v>
      </c>
      <c r="K154" s="12"/>
      <c r="L154" s="12"/>
      <c r="M154" s="18" t="b">
        <v>0</v>
      </c>
      <c r="N154" s="18" t="b">
        <v>0</v>
      </c>
      <c r="O154" s="12"/>
      <c r="P154" s="12"/>
      <c r="Q154" s="12"/>
      <c r="R154" s="12"/>
      <c r="S154" s="12"/>
      <c r="T154" s="12"/>
      <c r="U154" s="12"/>
      <c r="V154" s="12"/>
      <c r="W154" s="12"/>
      <c r="X154" s="12"/>
      <c r="Y154" s="12"/>
      <c r="Z154" s="12"/>
    </row>
    <row r="155" spans="1:26" ht="28.2" thickBot="1" x14ac:dyDescent="0.35">
      <c r="A155" s="15">
        <v>44290</v>
      </c>
      <c r="B155" s="16" t="s">
        <v>263</v>
      </c>
      <c r="C155" s="16" t="s">
        <v>264</v>
      </c>
      <c r="D155" s="16" t="s">
        <v>272</v>
      </c>
      <c r="E155" s="16" t="s">
        <v>276</v>
      </c>
      <c r="F155" s="17">
        <v>36</v>
      </c>
      <c r="G155" s="17">
        <v>2.1800000000000002</v>
      </c>
      <c r="H155" s="17">
        <v>78</v>
      </c>
      <c r="I155" s="18" t="b">
        <f t="shared" si="4"/>
        <v>1</v>
      </c>
      <c r="J155" s="18" t="b">
        <f t="shared" si="5"/>
        <v>0</v>
      </c>
      <c r="K155" s="12"/>
      <c r="L155" s="12"/>
      <c r="M155" s="18" t="b">
        <v>1</v>
      </c>
      <c r="N155" s="18" t="b">
        <v>0</v>
      </c>
      <c r="O155" s="12"/>
      <c r="P155" s="12"/>
      <c r="Q155" s="12"/>
      <c r="R155" s="12"/>
      <c r="S155" s="12"/>
      <c r="T155" s="12"/>
      <c r="U155" s="12"/>
      <c r="V155" s="12"/>
      <c r="W155" s="12"/>
      <c r="X155" s="12"/>
      <c r="Y155" s="12"/>
      <c r="Z155" s="12"/>
    </row>
    <row r="156" spans="1:26" ht="28.2" thickBot="1" x14ac:dyDescent="0.35">
      <c r="A156" s="15">
        <v>44293</v>
      </c>
      <c r="B156" s="16" t="s">
        <v>263</v>
      </c>
      <c r="C156" s="16" t="s">
        <v>264</v>
      </c>
      <c r="D156" s="16" t="s">
        <v>272</v>
      </c>
      <c r="E156" s="16" t="s">
        <v>280</v>
      </c>
      <c r="F156" s="17">
        <v>123</v>
      </c>
      <c r="G156" s="17">
        <v>2.84</v>
      </c>
      <c r="H156" s="17">
        <v>349</v>
      </c>
      <c r="I156" s="18" t="b">
        <f t="shared" si="4"/>
        <v>1</v>
      </c>
      <c r="J156" s="18" t="b">
        <f t="shared" si="5"/>
        <v>0</v>
      </c>
      <c r="K156" s="12"/>
      <c r="L156" s="12"/>
      <c r="M156" s="18" t="b">
        <v>1</v>
      </c>
      <c r="N156" s="18" t="b">
        <v>0</v>
      </c>
      <c r="O156" s="12"/>
      <c r="P156" s="12"/>
      <c r="Q156" s="12"/>
      <c r="R156" s="12"/>
      <c r="S156" s="12"/>
      <c r="T156" s="12"/>
      <c r="U156" s="12"/>
      <c r="V156" s="12"/>
      <c r="W156" s="12"/>
      <c r="X156" s="12"/>
      <c r="Y156" s="12"/>
      <c r="Z156" s="12"/>
    </row>
    <row r="157" spans="1:26" ht="28.2" thickBot="1" x14ac:dyDescent="0.35">
      <c r="A157" s="15">
        <v>44296</v>
      </c>
      <c r="B157" s="16" t="s">
        <v>270</v>
      </c>
      <c r="C157" s="16" t="s">
        <v>271</v>
      </c>
      <c r="D157" s="16" t="s">
        <v>265</v>
      </c>
      <c r="E157" s="16" t="s">
        <v>266</v>
      </c>
      <c r="F157" s="17">
        <v>90</v>
      </c>
      <c r="G157" s="17">
        <v>1.77</v>
      </c>
      <c r="H157" s="17">
        <v>159</v>
      </c>
      <c r="I157" s="18" t="b">
        <f t="shared" si="4"/>
        <v>0</v>
      </c>
      <c r="J157" s="18" t="b">
        <f t="shared" si="5"/>
        <v>0</v>
      </c>
      <c r="K157" s="12"/>
      <c r="L157" s="12"/>
      <c r="M157" s="18" t="b">
        <v>0</v>
      </c>
      <c r="N157" s="18" t="b">
        <v>0</v>
      </c>
      <c r="O157" s="12"/>
      <c r="P157" s="12"/>
      <c r="Q157" s="12"/>
      <c r="R157" s="12"/>
      <c r="S157" s="12"/>
      <c r="T157" s="12"/>
      <c r="U157" s="12"/>
      <c r="V157" s="12"/>
      <c r="W157" s="12"/>
      <c r="X157" s="12"/>
      <c r="Y157" s="12"/>
      <c r="Z157" s="12"/>
    </row>
    <row r="158" spans="1:26" ht="28.2" thickBot="1" x14ac:dyDescent="0.35">
      <c r="A158" s="15">
        <v>44299</v>
      </c>
      <c r="B158" s="16" t="s">
        <v>270</v>
      </c>
      <c r="C158" s="16" t="s">
        <v>271</v>
      </c>
      <c r="D158" s="16" t="s">
        <v>268</v>
      </c>
      <c r="E158" s="16" t="s">
        <v>269</v>
      </c>
      <c r="F158" s="17">
        <v>21</v>
      </c>
      <c r="G158" s="17">
        <v>3.49</v>
      </c>
      <c r="H158" s="17">
        <v>73</v>
      </c>
      <c r="I158" s="18" t="b">
        <f t="shared" si="4"/>
        <v>0</v>
      </c>
      <c r="J158" s="18" t="b">
        <f t="shared" si="5"/>
        <v>0</v>
      </c>
      <c r="K158" s="12"/>
      <c r="L158" s="12"/>
      <c r="M158" s="18" t="b">
        <v>0</v>
      </c>
      <c r="N158" s="18" t="b">
        <v>0</v>
      </c>
      <c r="O158" s="12"/>
      <c r="P158" s="12"/>
      <c r="Q158" s="12"/>
      <c r="R158" s="12"/>
      <c r="S158" s="12"/>
      <c r="T158" s="12"/>
      <c r="U158" s="12"/>
      <c r="V158" s="12"/>
      <c r="W158" s="12"/>
      <c r="X158" s="12"/>
      <c r="Y158" s="12"/>
      <c r="Z158" s="12"/>
    </row>
    <row r="159" spans="1:26" ht="15" thickBot="1" x14ac:dyDescent="0.35">
      <c r="A159" s="15">
        <v>44302</v>
      </c>
      <c r="B159" s="16" t="s">
        <v>263</v>
      </c>
      <c r="C159" s="16" t="s">
        <v>274</v>
      </c>
      <c r="D159" s="16" t="s">
        <v>265</v>
      </c>
      <c r="E159" s="16" t="s">
        <v>266</v>
      </c>
      <c r="F159" s="17">
        <v>48</v>
      </c>
      <c r="G159" s="17">
        <v>1.77</v>
      </c>
      <c r="H159" s="17">
        <v>85</v>
      </c>
      <c r="I159" s="18" t="b">
        <f t="shared" si="4"/>
        <v>0</v>
      </c>
      <c r="J159" s="18" t="b">
        <f t="shared" si="5"/>
        <v>0</v>
      </c>
      <c r="K159" s="12"/>
      <c r="L159" s="12"/>
      <c r="M159" s="18" t="b">
        <v>0</v>
      </c>
      <c r="N159" s="18" t="b">
        <v>0</v>
      </c>
      <c r="O159" s="12"/>
      <c r="P159" s="12"/>
      <c r="Q159" s="12"/>
      <c r="R159" s="12"/>
      <c r="S159" s="12"/>
      <c r="T159" s="12"/>
      <c r="U159" s="12"/>
      <c r="V159" s="12"/>
      <c r="W159" s="12"/>
      <c r="X159" s="12"/>
      <c r="Y159" s="12"/>
      <c r="Z159" s="12"/>
    </row>
    <row r="160" spans="1:26" ht="28.2" thickBot="1" x14ac:dyDescent="0.35">
      <c r="A160" s="15">
        <v>44305</v>
      </c>
      <c r="B160" s="16" t="s">
        <v>263</v>
      </c>
      <c r="C160" s="16" t="s">
        <v>274</v>
      </c>
      <c r="D160" s="16" t="s">
        <v>278</v>
      </c>
      <c r="E160" s="16" t="s">
        <v>279</v>
      </c>
      <c r="F160" s="17">
        <v>24</v>
      </c>
      <c r="G160" s="17">
        <v>1.68</v>
      </c>
      <c r="H160" s="17">
        <v>40</v>
      </c>
      <c r="I160" s="18" t="b">
        <f t="shared" si="4"/>
        <v>0</v>
      </c>
      <c r="J160" s="18" t="b">
        <f t="shared" si="5"/>
        <v>0</v>
      </c>
      <c r="K160" s="12"/>
      <c r="L160" s="12"/>
      <c r="M160" s="18" t="b">
        <v>0</v>
      </c>
      <c r="N160" s="18" t="b">
        <v>0</v>
      </c>
      <c r="O160" s="12"/>
      <c r="P160" s="12"/>
      <c r="Q160" s="12"/>
      <c r="R160" s="12"/>
      <c r="S160" s="12"/>
      <c r="T160" s="12"/>
      <c r="U160" s="12"/>
      <c r="V160" s="12"/>
      <c r="W160" s="12"/>
      <c r="X160" s="12"/>
      <c r="Y160" s="12"/>
      <c r="Z160" s="12"/>
    </row>
    <row r="161" spans="1:26" ht="28.2" thickBot="1" x14ac:dyDescent="0.35">
      <c r="A161" s="15">
        <v>44308</v>
      </c>
      <c r="B161" s="16" t="s">
        <v>270</v>
      </c>
      <c r="C161" s="16" t="s">
        <v>282</v>
      </c>
      <c r="D161" s="16" t="s">
        <v>272</v>
      </c>
      <c r="E161" s="16" t="s">
        <v>273</v>
      </c>
      <c r="F161" s="17">
        <v>67</v>
      </c>
      <c r="G161" s="17">
        <v>1.87</v>
      </c>
      <c r="H161" s="17">
        <v>125</v>
      </c>
      <c r="I161" s="18" t="b">
        <f t="shared" si="4"/>
        <v>1</v>
      </c>
      <c r="J161" s="18" t="b">
        <f t="shared" si="5"/>
        <v>1</v>
      </c>
      <c r="K161" s="12"/>
      <c r="L161" s="12"/>
      <c r="M161" s="18" t="b">
        <v>1</v>
      </c>
      <c r="N161" s="18" t="b">
        <v>1</v>
      </c>
      <c r="O161" s="12"/>
      <c r="P161" s="12"/>
      <c r="Q161" s="12"/>
      <c r="R161" s="12"/>
      <c r="S161" s="12"/>
      <c r="T161" s="12"/>
      <c r="U161" s="12"/>
      <c r="V161" s="12"/>
      <c r="W161" s="12"/>
      <c r="X161" s="12"/>
      <c r="Y161" s="12"/>
      <c r="Z161" s="12"/>
    </row>
    <row r="162" spans="1:26" ht="15" thickBot="1" x14ac:dyDescent="0.35">
      <c r="A162" s="15">
        <v>44311</v>
      </c>
      <c r="B162" s="16" t="s">
        <v>263</v>
      </c>
      <c r="C162" s="16" t="s">
        <v>264</v>
      </c>
      <c r="D162" s="16" t="s">
        <v>265</v>
      </c>
      <c r="E162" s="16" t="s">
        <v>281</v>
      </c>
      <c r="F162" s="17">
        <v>27</v>
      </c>
      <c r="G162" s="17">
        <v>1.87</v>
      </c>
      <c r="H162" s="17">
        <v>50</v>
      </c>
      <c r="I162" s="18" t="b">
        <f t="shared" si="4"/>
        <v>1</v>
      </c>
      <c r="J162" s="18" t="b">
        <f t="shared" si="5"/>
        <v>0</v>
      </c>
      <c r="K162" s="12"/>
      <c r="L162" s="12"/>
      <c r="M162" s="18" t="b">
        <v>1</v>
      </c>
      <c r="N162" s="18" t="b">
        <v>0</v>
      </c>
      <c r="O162" s="12"/>
      <c r="P162" s="12"/>
      <c r="Q162" s="12"/>
      <c r="R162" s="12"/>
      <c r="S162" s="12"/>
      <c r="T162" s="12"/>
      <c r="U162" s="12"/>
      <c r="V162" s="12"/>
      <c r="W162" s="12"/>
      <c r="X162" s="12"/>
      <c r="Y162" s="12"/>
      <c r="Z162" s="12"/>
    </row>
    <row r="163" spans="1:26" ht="28.2" thickBot="1" x14ac:dyDescent="0.35">
      <c r="A163" s="15">
        <v>44314</v>
      </c>
      <c r="B163" s="16" t="s">
        <v>263</v>
      </c>
      <c r="C163" s="16" t="s">
        <v>264</v>
      </c>
      <c r="D163" s="16" t="s">
        <v>272</v>
      </c>
      <c r="E163" s="16" t="s">
        <v>280</v>
      </c>
      <c r="F163" s="17">
        <v>129</v>
      </c>
      <c r="G163" s="17">
        <v>2.84</v>
      </c>
      <c r="H163" s="17">
        <v>366</v>
      </c>
      <c r="I163" s="18" t="b">
        <f t="shared" si="4"/>
        <v>1</v>
      </c>
      <c r="J163" s="18" t="b">
        <f t="shared" si="5"/>
        <v>0</v>
      </c>
      <c r="K163" s="12"/>
      <c r="L163" s="12"/>
      <c r="M163" s="18" t="b">
        <v>1</v>
      </c>
      <c r="N163" s="18" t="b">
        <v>0</v>
      </c>
      <c r="O163" s="12"/>
      <c r="P163" s="12"/>
      <c r="Q163" s="12"/>
      <c r="R163" s="12"/>
      <c r="S163" s="12"/>
      <c r="T163" s="12"/>
      <c r="U163" s="12"/>
      <c r="V163" s="12"/>
      <c r="W163" s="12"/>
      <c r="X163" s="12"/>
      <c r="Y163" s="12"/>
      <c r="Z163" s="12"/>
    </row>
    <row r="164" spans="1:26" ht="28.2" thickBot="1" x14ac:dyDescent="0.35">
      <c r="A164" s="15">
        <v>44317</v>
      </c>
      <c r="B164" s="16" t="s">
        <v>270</v>
      </c>
      <c r="C164" s="16" t="s">
        <v>271</v>
      </c>
      <c r="D164" s="16" t="s">
        <v>272</v>
      </c>
      <c r="E164" s="16" t="s">
        <v>276</v>
      </c>
      <c r="F164" s="17">
        <v>77</v>
      </c>
      <c r="G164" s="17">
        <v>2.1800000000000002</v>
      </c>
      <c r="H164" s="17">
        <v>168</v>
      </c>
      <c r="I164" s="18" t="b">
        <f t="shared" si="4"/>
        <v>0</v>
      </c>
      <c r="J164" s="18" t="b">
        <f t="shared" si="5"/>
        <v>0</v>
      </c>
      <c r="K164" s="12"/>
      <c r="L164" s="12"/>
      <c r="M164" s="18" t="b">
        <v>0</v>
      </c>
      <c r="N164" s="18" t="b">
        <v>0</v>
      </c>
      <c r="O164" s="12"/>
      <c r="P164" s="12"/>
      <c r="Q164" s="12"/>
      <c r="R164" s="12"/>
      <c r="S164" s="12"/>
      <c r="T164" s="12"/>
      <c r="U164" s="12"/>
      <c r="V164" s="12"/>
      <c r="W164" s="12"/>
      <c r="X164" s="12"/>
      <c r="Y164" s="12"/>
      <c r="Z164" s="12"/>
    </row>
    <row r="165" spans="1:26" ht="28.2" thickBot="1" x14ac:dyDescent="0.35">
      <c r="A165" s="15">
        <v>44320</v>
      </c>
      <c r="B165" s="16" t="s">
        <v>270</v>
      </c>
      <c r="C165" s="16" t="s">
        <v>271</v>
      </c>
      <c r="D165" s="16" t="s">
        <v>272</v>
      </c>
      <c r="E165" s="16" t="s">
        <v>273</v>
      </c>
      <c r="F165" s="17">
        <v>58</v>
      </c>
      <c r="G165" s="17">
        <v>1.87</v>
      </c>
      <c r="H165" s="17">
        <v>108</v>
      </c>
      <c r="I165" s="18" t="b">
        <f t="shared" si="4"/>
        <v>1</v>
      </c>
      <c r="J165" s="18" t="b">
        <f t="shared" si="5"/>
        <v>1</v>
      </c>
      <c r="K165" s="12"/>
      <c r="L165" s="12"/>
      <c r="M165" s="18" t="b">
        <v>1</v>
      </c>
      <c r="N165" s="18" t="b">
        <v>1</v>
      </c>
      <c r="O165" s="12"/>
      <c r="P165" s="12"/>
      <c r="Q165" s="12"/>
      <c r="R165" s="12"/>
      <c r="S165" s="12"/>
      <c r="T165" s="12"/>
      <c r="U165" s="12"/>
      <c r="V165" s="12"/>
      <c r="W165" s="12"/>
      <c r="X165" s="12"/>
      <c r="Y165" s="12"/>
      <c r="Z165" s="12"/>
    </row>
    <row r="166" spans="1:26" ht="15" thickBot="1" x14ac:dyDescent="0.35">
      <c r="A166" s="15">
        <v>44323</v>
      </c>
      <c r="B166" s="16" t="s">
        <v>263</v>
      </c>
      <c r="C166" s="16" t="s">
        <v>274</v>
      </c>
      <c r="D166" s="16" t="s">
        <v>265</v>
      </c>
      <c r="E166" s="16" t="s">
        <v>281</v>
      </c>
      <c r="F166" s="17">
        <v>47</v>
      </c>
      <c r="G166" s="17">
        <v>1.87</v>
      </c>
      <c r="H166" s="17">
        <v>88</v>
      </c>
      <c r="I166" s="18" t="b">
        <f t="shared" si="4"/>
        <v>0</v>
      </c>
      <c r="J166" s="18" t="b">
        <f t="shared" si="5"/>
        <v>0</v>
      </c>
      <c r="K166" s="12"/>
      <c r="L166" s="12"/>
      <c r="M166" s="18" t="b">
        <v>0</v>
      </c>
      <c r="N166" s="18" t="b">
        <v>0</v>
      </c>
      <c r="O166" s="12"/>
      <c r="P166" s="12"/>
      <c r="Q166" s="12"/>
      <c r="R166" s="12"/>
      <c r="S166" s="12"/>
      <c r="T166" s="12"/>
      <c r="U166" s="12"/>
      <c r="V166" s="12"/>
      <c r="W166" s="12"/>
      <c r="X166" s="12"/>
      <c r="Y166" s="12"/>
      <c r="Z166" s="12"/>
    </row>
    <row r="167" spans="1:26" ht="28.2" thickBot="1" x14ac:dyDescent="0.35">
      <c r="A167" s="15">
        <v>44326</v>
      </c>
      <c r="B167" s="16" t="s">
        <v>263</v>
      </c>
      <c r="C167" s="16" t="s">
        <v>274</v>
      </c>
      <c r="D167" s="16" t="s">
        <v>272</v>
      </c>
      <c r="E167" s="16" t="s">
        <v>280</v>
      </c>
      <c r="F167" s="17">
        <v>33</v>
      </c>
      <c r="G167" s="17">
        <v>2.84</v>
      </c>
      <c r="H167" s="17">
        <v>94</v>
      </c>
      <c r="I167" s="18" t="b">
        <f t="shared" si="4"/>
        <v>0</v>
      </c>
      <c r="J167" s="18" t="b">
        <f t="shared" si="5"/>
        <v>0</v>
      </c>
      <c r="K167" s="12"/>
      <c r="L167" s="12"/>
      <c r="M167" s="18" t="b">
        <v>0</v>
      </c>
      <c r="N167" s="18" t="b">
        <v>0</v>
      </c>
      <c r="O167" s="12"/>
      <c r="P167" s="12"/>
      <c r="Q167" s="12"/>
      <c r="R167" s="12"/>
      <c r="S167" s="12"/>
      <c r="T167" s="12"/>
      <c r="U167" s="12"/>
      <c r="V167" s="12"/>
      <c r="W167" s="12"/>
      <c r="X167" s="12"/>
      <c r="Y167" s="12"/>
      <c r="Z167" s="12"/>
    </row>
    <row r="168" spans="1:26" ht="28.2" thickBot="1" x14ac:dyDescent="0.35">
      <c r="A168" s="15">
        <v>44329</v>
      </c>
      <c r="B168" s="16" t="s">
        <v>270</v>
      </c>
      <c r="C168" s="16" t="s">
        <v>282</v>
      </c>
      <c r="D168" s="16" t="s">
        <v>272</v>
      </c>
      <c r="E168" s="16" t="s">
        <v>273</v>
      </c>
      <c r="F168" s="17">
        <v>82</v>
      </c>
      <c r="G168" s="17">
        <v>1.87</v>
      </c>
      <c r="H168" s="17">
        <v>153</v>
      </c>
      <c r="I168" s="18" t="b">
        <f t="shared" si="4"/>
        <v>1</v>
      </c>
      <c r="J168" s="18" t="b">
        <f t="shared" si="5"/>
        <v>1</v>
      </c>
      <c r="K168" s="12"/>
      <c r="L168" s="12"/>
      <c r="M168" s="18" t="b">
        <v>1</v>
      </c>
      <c r="N168" s="18" t="b">
        <v>1</v>
      </c>
      <c r="O168" s="12"/>
      <c r="P168" s="12"/>
      <c r="Q168" s="12"/>
      <c r="R168" s="12"/>
      <c r="S168" s="12"/>
      <c r="T168" s="12"/>
      <c r="U168" s="12"/>
      <c r="V168" s="12"/>
      <c r="W168" s="12"/>
      <c r="X168" s="12"/>
      <c r="Y168" s="12"/>
      <c r="Z168" s="12"/>
    </row>
    <row r="169" spans="1:26" ht="15" thickBot="1" x14ac:dyDescent="0.35">
      <c r="A169" s="15">
        <v>44332</v>
      </c>
      <c r="B169" s="16" t="s">
        <v>263</v>
      </c>
      <c r="C169" s="16" t="s">
        <v>264</v>
      </c>
      <c r="D169" s="16" t="s">
        <v>265</v>
      </c>
      <c r="E169" s="16" t="s">
        <v>266</v>
      </c>
      <c r="F169" s="17">
        <v>58</v>
      </c>
      <c r="G169" s="17">
        <v>1.77</v>
      </c>
      <c r="H169" s="17">
        <v>103</v>
      </c>
      <c r="I169" s="18" t="b">
        <f t="shared" si="4"/>
        <v>1</v>
      </c>
      <c r="J169" s="18" t="b">
        <f t="shared" si="5"/>
        <v>0</v>
      </c>
      <c r="K169" s="12"/>
      <c r="L169" s="12"/>
      <c r="M169" s="18" t="b">
        <v>1</v>
      </c>
      <c r="N169" s="18" t="b">
        <v>0</v>
      </c>
      <c r="O169" s="12"/>
      <c r="P169" s="12"/>
      <c r="Q169" s="12"/>
      <c r="R169" s="12"/>
      <c r="S169" s="12"/>
      <c r="T169" s="12"/>
      <c r="U169" s="12"/>
      <c r="V169" s="12"/>
      <c r="W169" s="12"/>
      <c r="X169" s="12"/>
      <c r="Y169" s="12"/>
      <c r="Z169" s="12"/>
    </row>
    <row r="170" spans="1:26" ht="15" thickBot="1" x14ac:dyDescent="0.35">
      <c r="A170" s="15">
        <v>44335</v>
      </c>
      <c r="B170" s="16" t="s">
        <v>263</v>
      </c>
      <c r="C170" s="16" t="s">
        <v>264</v>
      </c>
      <c r="D170" s="16" t="s">
        <v>278</v>
      </c>
      <c r="E170" s="16" t="s">
        <v>283</v>
      </c>
      <c r="F170" s="17">
        <v>30</v>
      </c>
      <c r="G170" s="17">
        <v>3.15</v>
      </c>
      <c r="H170" s="17">
        <v>95</v>
      </c>
      <c r="I170" s="18" t="b">
        <f t="shared" si="4"/>
        <v>1</v>
      </c>
      <c r="J170" s="18" t="b">
        <f t="shared" si="5"/>
        <v>0</v>
      </c>
      <c r="K170" s="12"/>
      <c r="L170" s="12"/>
      <c r="M170" s="18" t="b">
        <v>1</v>
      </c>
      <c r="N170" s="18" t="b">
        <v>0</v>
      </c>
      <c r="O170" s="12"/>
      <c r="P170" s="12"/>
      <c r="Q170" s="12"/>
      <c r="R170" s="12"/>
      <c r="S170" s="12"/>
      <c r="T170" s="12"/>
      <c r="U170" s="12"/>
      <c r="V170" s="12"/>
      <c r="W170" s="12"/>
      <c r="X170" s="12"/>
      <c r="Y170" s="12"/>
      <c r="Z170" s="12"/>
    </row>
    <row r="171" spans="1:26" ht="28.2" thickBot="1" x14ac:dyDescent="0.35">
      <c r="A171" s="15">
        <v>44338</v>
      </c>
      <c r="B171" s="16" t="s">
        <v>270</v>
      </c>
      <c r="C171" s="16" t="s">
        <v>271</v>
      </c>
      <c r="D171" s="16" t="s">
        <v>272</v>
      </c>
      <c r="E171" s="16" t="s">
        <v>273</v>
      </c>
      <c r="F171" s="17">
        <v>43</v>
      </c>
      <c r="G171" s="17">
        <v>1.87</v>
      </c>
      <c r="H171" s="17">
        <v>80</v>
      </c>
      <c r="I171" s="18" t="b">
        <f t="shared" si="4"/>
        <v>1</v>
      </c>
      <c r="J171" s="18" t="b">
        <f t="shared" si="5"/>
        <v>1</v>
      </c>
      <c r="K171" s="12"/>
      <c r="L171" s="12"/>
      <c r="M171" s="18" t="b">
        <v>1</v>
      </c>
      <c r="N171" s="18" t="b">
        <v>1</v>
      </c>
      <c r="O171" s="12"/>
      <c r="P171" s="12"/>
      <c r="Q171" s="12"/>
      <c r="R171" s="12"/>
      <c r="S171" s="12"/>
      <c r="T171" s="12"/>
      <c r="U171" s="12"/>
      <c r="V171" s="12"/>
      <c r="W171" s="12"/>
      <c r="X171" s="12"/>
      <c r="Y171" s="12"/>
      <c r="Z171" s="12"/>
    </row>
    <row r="172" spans="1:26" ht="15" thickBot="1" x14ac:dyDescent="0.35">
      <c r="A172" s="15">
        <v>44341</v>
      </c>
      <c r="B172" s="16" t="s">
        <v>263</v>
      </c>
      <c r="C172" s="16" t="s">
        <v>274</v>
      </c>
      <c r="D172" s="16" t="s">
        <v>265</v>
      </c>
      <c r="E172" s="16" t="s">
        <v>266</v>
      </c>
      <c r="F172" s="17">
        <v>84</v>
      </c>
      <c r="G172" s="17">
        <v>1.77</v>
      </c>
      <c r="H172" s="17">
        <v>149</v>
      </c>
      <c r="I172" s="18" t="b">
        <f t="shared" si="4"/>
        <v>0</v>
      </c>
      <c r="J172" s="18" t="b">
        <f t="shared" si="5"/>
        <v>0</v>
      </c>
      <c r="K172" s="12"/>
      <c r="L172" s="12"/>
      <c r="M172" s="18" t="b">
        <v>0</v>
      </c>
      <c r="N172" s="18" t="b">
        <v>0</v>
      </c>
      <c r="O172" s="12"/>
      <c r="P172" s="12"/>
      <c r="Q172" s="12"/>
      <c r="R172" s="12"/>
      <c r="S172" s="12"/>
      <c r="T172" s="12"/>
      <c r="U172" s="12"/>
      <c r="V172" s="12"/>
      <c r="W172" s="12"/>
      <c r="X172" s="12"/>
      <c r="Y172" s="12"/>
      <c r="Z172" s="12"/>
    </row>
    <row r="173" spans="1:26" ht="28.2" thickBot="1" x14ac:dyDescent="0.35">
      <c r="A173" s="15">
        <v>44344</v>
      </c>
      <c r="B173" s="16" t="s">
        <v>270</v>
      </c>
      <c r="C173" s="16" t="s">
        <v>282</v>
      </c>
      <c r="D173" s="16" t="s">
        <v>272</v>
      </c>
      <c r="E173" s="16" t="s">
        <v>276</v>
      </c>
      <c r="F173" s="17">
        <v>36</v>
      </c>
      <c r="G173" s="17">
        <v>2.1800000000000002</v>
      </c>
      <c r="H173" s="17">
        <v>78</v>
      </c>
      <c r="I173" s="18" t="b">
        <f t="shared" si="4"/>
        <v>0</v>
      </c>
      <c r="J173" s="18" t="b">
        <f t="shared" si="5"/>
        <v>0</v>
      </c>
      <c r="K173" s="12"/>
      <c r="L173" s="12"/>
      <c r="M173" s="18" t="b">
        <v>0</v>
      </c>
      <c r="N173" s="18" t="b">
        <v>0</v>
      </c>
      <c r="O173" s="12"/>
      <c r="P173" s="12"/>
      <c r="Q173" s="12"/>
      <c r="R173" s="12"/>
      <c r="S173" s="12"/>
      <c r="T173" s="12"/>
      <c r="U173" s="12"/>
      <c r="V173" s="12"/>
      <c r="W173" s="12"/>
      <c r="X173" s="12"/>
      <c r="Y173" s="12"/>
      <c r="Z173" s="12"/>
    </row>
    <row r="174" spans="1:26" ht="28.2" thickBot="1" x14ac:dyDescent="0.35">
      <c r="A174" s="15">
        <v>44347</v>
      </c>
      <c r="B174" s="16" t="s">
        <v>270</v>
      </c>
      <c r="C174" s="16" t="s">
        <v>282</v>
      </c>
      <c r="D174" s="16" t="s">
        <v>272</v>
      </c>
      <c r="E174" s="16" t="s">
        <v>280</v>
      </c>
      <c r="F174" s="17">
        <v>44</v>
      </c>
      <c r="G174" s="17">
        <v>2.84</v>
      </c>
      <c r="H174" s="17">
        <v>125</v>
      </c>
      <c r="I174" s="18" t="b">
        <f t="shared" si="4"/>
        <v>0</v>
      </c>
      <c r="J174" s="18" t="b">
        <f t="shared" si="5"/>
        <v>0</v>
      </c>
      <c r="K174" s="12"/>
      <c r="L174" s="12"/>
      <c r="M174" s="18" t="b">
        <v>0</v>
      </c>
      <c r="N174" s="18" t="b">
        <v>0</v>
      </c>
      <c r="O174" s="12"/>
      <c r="P174" s="12"/>
      <c r="Q174" s="12"/>
      <c r="R174" s="12"/>
      <c r="S174" s="12"/>
      <c r="T174" s="12"/>
      <c r="U174" s="12"/>
      <c r="V174" s="12"/>
      <c r="W174" s="12"/>
      <c r="X174" s="12"/>
      <c r="Y174" s="12"/>
      <c r="Z174" s="12"/>
    </row>
    <row r="175" spans="1:26" ht="15" thickBot="1" x14ac:dyDescent="0.35">
      <c r="A175" s="15">
        <v>44350</v>
      </c>
      <c r="B175" s="16" t="s">
        <v>263</v>
      </c>
      <c r="C175" s="16" t="s">
        <v>264</v>
      </c>
      <c r="D175" s="16" t="s">
        <v>265</v>
      </c>
      <c r="E175" s="16" t="s">
        <v>281</v>
      </c>
      <c r="F175" s="17">
        <v>27</v>
      </c>
      <c r="G175" s="17">
        <v>1.87</v>
      </c>
      <c r="H175" s="17">
        <v>50</v>
      </c>
      <c r="I175" s="18" t="b">
        <f t="shared" si="4"/>
        <v>1</v>
      </c>
      <c r="J175" s="18" t="b">
        <f t="shared" si="5"/>
        <v>0</v>
      </c>
      <c r="K175" s="12"/>
      <c r="L175" s="12"/>
      <c r="M175" s="18" t="b">
        <v>1</v>
      </c>
      <c r="N175" s="18" t="b">
        <v>0</v>
      </c>
      <c r="O175" s="12"/>
      <c r="P175" s="12"/>
      <c r="Q175" s="12"/>
      <c r="R175" s="12"/>
      <c r="S175" s="12"/>
      <c r="T175" s="12"/>
      <c r="U175" s="12"/>
      <c r="V175" s="12"/>
      <c r="W175" s="12"/>
      <c r="X175" s="12"/>
      <c r="Y175" s="12"/>
      <c r="Z175" s="12"/>
    </row>
    <row r="176" spans="1:26" ht="28.2" thickBot="1" x14ac:dyDescent="0.35">
      <c r="A176" s="15">
        <v>44353</v>
      </c>
      <c r="B176" s="16" t="s">
        <v>263</v>
      </c>
      <c r="C176" s="16" t="s">
        <v>264</v>
      </c>
      <c r="D176" s="16" t="s">
        <v>272</v>
      </c>
      <c r="E176" s="16" t="s">
        <v>280</v>
      </c>
      <c r="F176" s="17">
        <v>120</v>
      </c>
      <c r="G176" s="17">
        <v>2.84</v>
      </c>
      <c r="H176" s="17">
        <v>341</v>
      </c>
      <c r="I176" s="18" t="b">
        <f t="shared" si="4"/>
        <v>1</v>
      </c>
      <c r="J176" s="18" t="b">
        <f t="shared" si="5"/>
        <v>0</v>
      </c>
      <c r="K176" s="12"/>
      <c r="L176" s="12"/>
      <c r="M176" s="18" t="b">
        <v>1</v>
      </c>
      <c r="N176" s="18" t="b">
        <v>0</v>
      </c>
      <c r="O176" s="12"/>
      <c r="P176" s="12"/>
      <c r="Q176" s="12"/>
      <c r="R176" s="12"/>
      <c r="S176" s="12"/>
      <c r="T176" s="12"/>
      <c r="U176" s="12"/>
      <c r="V176" s="12"/>
      <c r="W176" s="12"/>
      <c r="X176" s="12"/>
      <c r="Y176" s="12"/>
      <c r="Z176" s="12"/>
    </row>
    <row r="177" spans="1:26" ht="28.2" thickBot="1" x14ac:dyDescent="0.35">
      <c r="A177" s="15">
        <v>44356</v>
      </c>
      <c r="B177" s="16" t="s">
        <v>263</v>
      </c>
      <c r="C177" s="16" t="s">
        <v>264</v>
      </c>
      <c r="D177" s="16" t="s">
        <v>268</v>
      </c>
      <c r="E177" s="16" t="s">
        <v>269</v>
      </c>
      <c r="F177" s="17">
        <v>26</v>
      </c>
      <c r="G177" s="17">
        <v>3.49</v>
      </c>
      <c r="H177" s="17">
        <v>91</v>
      </c>
      <c r="I177" s="18" t="b">
        <f t="shared" si="4"/>
        <v>1</v>
      </c>
      <c r="J177" s="18" t="b">
        <f t="shared" si="5"/>
        <v>0</v>
      </c>
      <c r="K177" s="12"/>
      <c r="L177" s="12"/>
      <c r="M177" s="18" t="b">
        <v>1</v>
      </c>
      <c r="N177" s="18" t="b">
        <v>0</v>
      </c>
      <c r="O177" s="12"/>
      <c r="P177" s="12"/>
      <c r="Q177" s="12"/>
      <c r="R177" s="12"/>
      <c r="S177" s="12"/>
      <c r="T177" s="12"/>
      <c r="U177" s="12"/>
      <c r="V177" s="12"/>
      <c r="W177" s="12"/>
      <c r="X177" s="12"/>
      <c r="Y177" s="12"/>
      <c r="Z177" s="12"/>
    </row>
    <row r="178" spans="1:26" ht="28.2" thickBot="1" x14ac:dyDescent="0.35">
      <c r="A178" s="15">
        <v>44359</v>
      </c>
      <c r="B178" s="16" t="s">
        <v>270</v>
      </c>
      <c r="C178" s="16" t="s">
        <v>271</v>
      </c>
      <c r="D178" s="16" t="s">
        <v>265</v>
      </c>
      <c r="E178" s="16" t="s">
        <v>266</v>
      </c>
      <c r="F178" s="17">
        <v>73</v>
      </c>
      <c r="G178" s="17">
        <v>1.77</v>
      </c>
      <c r="H178" s="17">
        <v>129</v>
      </c>
      <c r="I178" s="18" t="b">
        <f t="shared" si="4"/>
        <v>0</v>
      </c>
      <c r="J178" s="18" t="b">
        <f t="shared" si="5"/>
        <v>0</v>
      </c>
      <c r="K178" s="12"/>
      <c r="L178" s="12"/>
      <c r="M178" s="18" t="b">
        <v>0</v>
      </c>
      <c r="N178" s="18" t="b">
        <v>0</v>
      </c>
      <c r="O178" s="12"/>
      <c r="P178" s="12"/>
      <c r="Q178" s="12"/>
      <c r="R178" s="12"/>
      <c r="S178" s="12"/>
      <c r="T178" s="12"/>
      <c r="U178" s="12"/>
      <c r="V178" s="12"/>
      <c r="W178" s="12"/>
      <c r="X178" s="12"/>
      <c r="Y178" s="12"/>
      <c r="Z178" s="12"/>
    </row>
    <row r="179" spans="1:26" ht="15" thickBot="1" x14ac:dyDescent="0.35">
      <c r="A179" s="15">
        <v>44362</v>
      </c>
      <c r="B179" s="16" t="s">
        <v>263</v>
      </c>
      <c r="C179" s="16" t="s">
        <v>274</v>
      </c>
      <c r="D179" s="16" t="s">
        <v>265</v>
      </c>
      <c r="E179" s="16" t="s">
        <v>281</v>
      </c>
      <c r="F179" s="17">
        <v>38</v>
      </c>
      <c r="G179" s="17">
        <v>1.87</v>
      </c>
      <c r="H179" s="17">
        <v>71</v>
      </c>
      <c r="I179" s="18" t="b">
        <f t="shared" si="4"/>
        <v>0</v>
      </c>
      <c r="J179" s="18" t="b">
        <f t="shared" si="5"/>
        <v>0</v>
      </c>
      <c r="K179" s="12"/>
      <c r="L179" s="12"/>
      <c r="M179" s="18" t="b">
        <v>0</v>
      </c>
      <c r="N179" s="18" t="b">
        <v>0</v>
      </c>
      <c r="O179" s="12"/>
      <c r="P179" s="12"/>
      <c r="Q179" s="12"/>
      <c r="R179" s="12"/>
      <c r="S179" s="12"/>
      <c r="T179" s="12"/>
      <c r="U179" s="12"/>
      <c r="V179" s="12"/>
      <c r="W179" s="12"/>
      <c r="X179" s="12"/>
      <c r="Y179" s="12"/>
      <c r="Z179" s="12"/>
    </row>
    <row r="180" spans="1:26" ht="28.2" thickBot="1" x14ac:dyDescent="0.35">
      <c r="A180" s="15">
        <v>44365</v>
      </c>
      <c r="B180" s="16" t="s">
        <v>263</v>
      </c>
      <c r="C180" s="16" t="s">
        <v>274</v>
      </c>
      <c r="D180" s="16" t="s">
        <v>272</v>
      </c>
      <c r="E180" s="16" t="s">
        <v>280</v>
      </c>
      <c r="F180" s="17">
        <v>40</v>
      </c>
      <c r="G180" s="17">
        <v>2.84</v>
      </c>
      <c r="H180" s="17">
        <v>114</v>
      </c>
      <c r="I180" s="18" t="b">
        <f t="shared" si="4"/>
        <v>0</v>
      </c>
      <c r="J180" s="18" t="b">
        <f t="shared" si="5"/>
        <v>0</v>
      </c>
      <c r="K180" s="12"/>
      <c r="L180" s="12"/>
      <c r="M180" s="18" t="b">
        <v>0</v>
      </c>
      <c r="N180" s="18" t="b">
        <v>0</v>
      </c>
      <c r="O180" s="12"/>
      <c r="P180" s="12"/>
      <c r="Q180" s="12"/>
      <c r="R180" s="12"/>
      <c r="S180" s="12"/>
      <c r="T180" s="12"/>
      <c r="U180" s="12"/>
      <c r="V180" s="12"/>
      <c r="W180" s="12"/>
      <c r="X180" s="12"/>
      <c r="Y180" s="12"/>
      <c r="Z180" s="12"/>
    </row>
    <row r="181" spans="1:26" ht="15" thickBot="1" x14ac:dyDescent="0.35">
      <c r="A181" s="15">
        <v>44368</v>
      </c>
      <c r="B181" s="16" t="s">
        <v>270</v>
      </c>
      <c r="C181" s="16" t="s">
        <v>282</v>
      </c>
      <c r="D181" s="16" t="s">
        <v>265</v>
      </c>
      <c r="E181" s="16" t="s">
        <v>266</v>
      </c>
      <c r="F181" s="17">
        <v>41</v>
      </c>
      <c r="G181" s="17">
        <v>1.77</v>
      </c>
      <c r="H181" s="17">
        <v>73</v>
      </c>
      <c r="I181" s="18" t="b">
        <f t="shared" si="4"/>
        <v>0</v>
      </c>
      <c r="J181" s="18" t="b">
        <f t="shared" si="5"/>
        <v>0</v>
      </c>
      <c r="K181" s="12"/>
      <c r="L181" s="12"/>
      <c r="M181" s="18" t="b">
        <v>0</v>
      </c>
      <c r="N181" s="18" t="b">
        <v>0</v>
      </c>
      <c r="O181" s="12"/>
      <c r="P181" s="12"/>
      <c r="Q181" s="12"/>
      <c r="R181" s="12"/>
      <c r="S181" s="12"/>
      <c r="T181" s="12"/>
      <c r="U181" s="12"/>
      <c r="V181" s="12"/>
      <c r="W181" s="12"/>
      <c r="X181" s="12"/>
      <c r="Y181" s="12"/>
      <c r="Z181" s="12"/>
    </row>
    <row r="182" spans="1:26" ht="15" thickBot="1" x14ac:dyDescent="0.35">
      <c r="A182" s="15">
        <v>44371</v>
      </c>
      <c r="B182" s="16" t="s">
        <v>263</v>
      </c>
      <c r="C182" s="16" t="s">
        <v>264</v>
      </c>
      <c r="D182" s="16" t="s">
        <v>265</v>
      </c>
      <c r="E182" s="16" t="s">
        <v>284</v>
      </c>
      <c r="F182" s="17">
        <v>27</v>
      </c>
      <c r="G182" s="17">
        <v>2.27</v>
      </c>
      <c r="H182" s="17">
        <v>61</v>
      </c>
      <c r="I182" s="18" t="b">
        <f t="shared" si="4"/>
        <v>1</v>
      </c>
      <c r="J182" s="18" t="b">
        <f t="shared" si="5"/>
        <v>0</v>
      </c>
      <c r="K182" s="12"/>
      <c r="L182" s="12"/>
      <c r="M182" s="18" t="b">
        <v>1</v>
      </c>
      <c r="N182" s="18" t="b">
        <v>0</v>
      </c>
      <c r="O182" s="12"/>
      <c r="P182" s="12"/>
      <c r="Q182" s="12"/>
      <c r="R182" s="12"/>
      <c r="S182" s="12"/>
      <c r="T182" s="12"/>
      <c r="U182" s="12"/>
      <c r="V182" s="12"/>
      <c r="W182" s="12"/>
      <c r="X182" s="12"/>
      <c r="Y182" s="12"/>
      <c r="Z182" s="12"/>
    </row>
    <row r="183" spans="1:26" ht="28.2" thickBot="1" x14ac:dyDescent="0.35">
      <c r="A183" s="15">
        <v>44374</v>
      </c>
      <c r="B183" s="16" t="s">
        <v>263</v>
      </c>
      <c r="C183" s="16" t="s">
        <v>264</v>
      </c>
      <c r="D183" s="16" t="s">
        <v>272</v>
      </c>
      <c r="E183" s="16" t="s">
        <v>273</v>
      </c>
      <c r="F183" s="17">
        <v>38</v>
      </c>
      <c r="G183" s="17">
        <v>1.87</v>
      </c>
      <c r="H183" s="17">
        <v>71</v>
      </c>
      <c r="I183" s="18" t="b">
        <f t="shared" si="4"/>
        <v>1</v>
      </c>
      <c r="J183" s="18" t="b">
        <f t="shared" si="5"/>
        <v>0</v>
      </c>
      <c r="K183" s="12"/>
      <c r="L183" s="12"/>
      <c r="M183" s="18" t="b">
        <v>1</v>
      </c>
      <c r="N183" s="18" t="b">
        <v>0</v>
      </c>
      <c r="O183" s="12"/>
      <c r="P183" s="12"/>
      <c r="Q183" s="12"/>
      <c r="R183" s="12"/>
      <c r="S183" s="12"/>
      <c r="T183" s="12"/>
      <c r="U183" s="12"/>
      <c r="V183" s="12"/>
      <c r="W183" s="12"/>
      <c r="X183" s="12"/>
      <c r="Y183" s="12"/>
      <c r="Z183" s="12"/>
    </row>
    <row r="184" spans="1:26" ht="28.2" thickBot="1" x14ac:dyDescent="0.35">
      <c r="A184" s="15">
        <v>44377</v>
      </c>
      <c r="B184" s="16" t="s">
        <v>263</v>
      </c>
      <c r="C184" s="16" t="s">
        <v>264</v>
      </c>
      <c r="D184" s="16" t="s">
        <v>268</v>
      </c>
      <c r="E184" s="16" t="s">
        <v>269</v>
      </c>
      <c r="F184" s="17">
        <v>34</v>
      </c>
      <c r="G184" s="17">
        <v>3.49</v>
      </c>
      <c r="H184" s="17">
        <v>119</v>
      </c>
      <c r="I184" s="18" t="b">
        <f t="shared" si="4"/>
        <v>1</v>
      </c>
      <c r="J184" s="18" t="b">
        <f t="shared" si="5"/>
        <v>0</v>
      </c>
      <c r="K184" s="12"/>
      <c r="L184" s="12"/>
      <c r="M184" s="18" t="b">
        <v>1</v>
      </c>
      <c r="N184" s="18" t="b">
        <v>0</v>
      </c>
      <c r="O184" s="12"/>
      <c r="P184" s="12"/>
      <c r="Q184" s="12"/>
      <c r="R184" s="12"/>
      <c r="S184" s="12"/>
      <c r="T184" s="12"/>
      <c r="U184" s="12"/>
      <c r="V184" s="12"/>
      <c r="W184" s="12"/>
      <c r="X184" s="12"/>
      <c r="Y184" s="12"/>
      <c r="Z184" s="12"/>
    </row>
    <row r="185" spans="1:26" ht="28.2" thickBot="1" x14ac:dyDescent="0.35">
      <c r="A185" s="15">
        <v>44380</v>
      </c>
      <c r="B185" s="16" t="s">
        <v>270</v>
      </c>
      <c r="C185" s="16" t="s">
        <v>271</v>
      </c>
      <c r="D185" s="16" t="s">
        <v>265</v>
      </c>
      <c r="E185" s="16" t="s">
        <v>281</v>
      </c>
      <c r="F185" s="17">
        <v>65</v>
      </c>
      <c r="G185" s="17">
        <v>1.87</v>
      </c>
      <c r="H185" s="17">
        <v>122</v>
      </c>
      <c r="I185" s="18" t="b">
        <f t="shared" si="4"/>
        <v>0</v>
      </c>
      <c r="J185" s="18" t="b">
        <f t="shared" si="5"/>
        <v>0</v>
      </c>
      <c r="K185" s="12"/>
      <c r="L185" s="12"/>
      <c r="M185" s="18" t="b">
        <v>0</v>
      </c>
      <c r="N185" s="18" t="b">
        <v>0</v>
      </c>
      <c r="O185" s="12"/>
      <c r="P185" s="12"/>
      <c r="Q185" s="12"/>
      <c r="R185" s="12"/>
      <c r="S185" s="12"/>
      <c r="T185" s="12"/>
      <c r="U185" s="12"/>
      <c r="V185" s="12"/>
      <c r="W185" s="12"/>
      <c r="X185" s="12"/>
      <c r="Y185" s="12"/>
      <c r="Z185" s="12"/>
    </row>
    <row r="186" spans="1:26" ht="28.2" thickBot="1" x14ac:dyDescent="0.35">
      <c r="A186" s="15">
        <v>44383</v>
      </c>
      <c r="B186" s="16" t="s">
        <v>270</v>
      </c>
      <c r="C186" s="16" t="s">
        <v>271</v>
      </c>
      <c r="D186" s="16" t="s">
        <v>272</v>
      </c>
      <c r="E186" s="16" t="s">
        <v>280</v>
      </c>
      <c r="F186" s="17">
        <v>60</v>
      </c>
      <c r="G186" s="17">
        <v>2.84</v>
      </c>
      <c r="H186" s="17">
        <v>170</v>
      </c>
      <c r="I186" s="18" t="b">
        <f t="shared" si="4"/>
        <v>0</v>
      </c>
      <c r="J186" s="18" t="b">
        <f t="shared" si="5"/>
        <v>0</v>
      </c>
      <c r="K186" s="12"/>
      <c r="L186" s="12"/>
      <c r="M186" s="18" t="b">
        <v>0</v>
      </c>
      <c r="N186" s="18" t="b">
        <v>0</v>
      </c>
      <c r="O186" s="12"/>
      <c r="P186" s="12"/>
      <c r="Q186" s="12"/>
      <c r="R186" s="12"/>
      <c r="S186" s="12"/>
      <c r="T186" s="12"/>
      <c r="U186" s="12"/>
      <c r="V186" s="12"/>
      <c r="W186" s="12"/>
      <c r="X186" s="12"/>
      <c r="Y186" s="12"/>
      <c r="Z186" s="12"/>
    </row>
    <row r="187" spans="1:26" ht="28.2" thickBot="1" x14ac:dyDescent="0.35">
      <c r="A187" s="15">
        <v>44386</v>
      </c>
      <c r="B187" s="16" t="s">
        <v>263</v>
      </c>
      <c r="C187" s="16" t="s">
        <v>274</v>
      </c>
      <c r="D187" s="16" t="s">
        <v>272</v>
      </c>
      <c r="E187" s="16" t="s">
        <v>276</v>
      </c>
      <c r="F187" s="17">
        <v>37</v>
      </c>
      <c r="G187" s="17">
        <v>2.1800000000000002</v>
      </c>
      <c r="H187" s="17">
        <v>81</v>
      </c>
      <c r="I187" s="18" t="b">
        <f t="shared" si="4"/>
        <v>0</v>
      </c>
      <c r="J187" s="18" t="b">
        <f t="shared" si="5"/>
        <v>0</v>
      </c>
      <c r="K187" s="12"/>
      <c r="L187" s="12"/>
      <c r="M187" s="18" t="b">
        <v>0</v>
      </c>
      <c r="N187" s="18" t="b">
        <v>0</v>
      </c>
      <c r="O187" s="12"/>
      <c r="P187" s="12"/>
      <c r="Q187" s="12"/>
      <c r="R187" s="12"/>
      <c r="S187" s="12"/>
      <c r="T187" s="12"/>
      <c r="U187" s="12"/>
      <c r="V187" s="12"/>
      <c r="W187" s="12"/>
      <c r="X187" s="12"/>
      <c r="Y187" s="12"/>
      <c r="Z187" s="12"/>
    </row>
    <row r="188" spans="1:26" ht="28.2" thickBot="1" x14ac:dyDescent="0.35">
      <c r="A188" s="15">
        <v>44389</v>
      </c>
      <c r="B188" s="16" t="s">
        <v>263</v>
      </c>
      <c r="C188" s="16" t="s">
        <v>274</v>
      </c>
      <c r="D188" s="16" t="s">
        <v>272</v>
      </c>
      <c r="E188" s="16" t="s">
        <v>273</v>
      </c>
      <c r="F188" s="17">
        <v>40</v>
      </c>
      <c r="G188" s="17">
        <v>1.87</v>
      </c>
      <c r="H188" s="17">
        <v>75</v>
      </c>
      <c r="I188" s="18" t="b">
        <f t="shared" si="4"/>
        <v>1</v>
      </c>
      <c r="J188" s="18" t="b">
        <f t="shared" si="5"/>
        <v>0</v>
      </c>
      <c r="K188" s="12"/>
      <c r="L188" s="12"/>
      <c r="M188" s="18" t="b">
        <v>1</v>
      </c>
      <c r="N188" s="18" t="b">
        <v>0</v>
      </c>
      <c r="O188" s="12"/>
      <c r="P188" s="12"/>
      <c r="Q188" s="12"/>
      <c r="R188" s="12"/>
      <c r="S188" s="12"/>
      <c r="T188" s="12"/>
      <c r="U188" s="12"/>
      <c r="V188" s="12"/>
      <c r="W188" s="12"/>
      <c r="X188" s="12"/>
      <c r="Y188" s="12"/>
      <c r="Z188" s="12"/>
    </row>
    <row r="189" spans="1:26" ht="15" thickBot="1" x14ac:dyDescent="0.35">
      <c r="A189" s="15">
        <v>44392</v>
      </c>
      <c r="B189" s="16" t="s">
        <v>270</v>
      </c>
      <c r="C189" s="16" t="s">
        <v>282</v>
      </c>
      <c r="D189" s="16" t="s">
        <v>265</v>
      </c>
      <c r="E189" s="16" t="s">
        <v>281</v>
      </c>
      <c r="F189" s="17">
        <v>26</v>
      </c>
      <c r="G189" s="17">
        <v>1.87</v>
      </c>
      <c r="H189" s="17">
        <v>49</v>
      </c>
      <c r="I189" s="18" t="b">
        <f t="shared" si="4"/>
        <v>0</v>
      </c>
      <c r="J189" s="18" t="b">
        <f t="shared" si="5"/>
        <v>0</v>
      </c>
      <c r="K189" s="12"/>
      <c r="L189" s="12"/>
      <c r="M189" s="18" t="b">
        <v>0</v>
      </c>
      <c r="N189" s="18" t="b">
        <v>0</v>
      </c>
      <c r="O189" s="12"/>
      <c r="P189" s="12"/>
      <c r="Q189" s="12"/>
      <c r="R189" s="12"/>
      <c r="S189" s="12"/>
      <c r="T189" s="12"/>
      <c r="U189" s="12"/>
      <c r="V189" s="12"/>
      <c r="W189" s="12"/>
      <c r="X189" s="12"/>
      <c r="Y189" s="12"/>
      <c r="Z189" s="12"/>
    </row>
    <row r="190" spans="1:26" ht="15" thickBot="1" x14ac:dyDescent="0.35">
      <c r="A190" s="15">
        <v>44395</v>
      </c>
      <c r="B190" s="16" t="s">
        <v>263</v>
      </c>
      <c r="C190" s="16" t="s">
        <v>264</v>
      </c>
      <c r="D190" s="16" t="s">
        <v>265</v>
      </c>
      <c r="E190" s="16" t="s">
        <v>284</v>
      </c>
      <c r="F190" s="17">
        <v>22</v>
      </c>
      <c r="G190" s="17">
        <v>2.27</v>
      </c>
      <c r="H190" s="17">
        <v>50</v>
      </c>
      <c r="I190" s="18" t="b">
        <f t="shared" si="4"/>
        <v>1</v>
      </c>
      <c r="J190" s="18" t="b">
        <f t="shared" si="5"/>
        <v>0</v>
      </c>
      <c r="K190" s="12"/>
      <c r="L190" s="12"/>
      <c r="M190" s="18" t="b">
        <v>1</v>
      </c>
      <c r="N190" s="18" t="b">
        <v>0</v>
      </c>
      <c r="O190" s="12"/>
      <c r="P190" s="12"/>
      <c r="Q190" s="12"/>
      <c r="R190" s="12"/>
      <c r="S190" s="12"/>
      <c r="T190" s="12"/>
      <c r="U190" s="12"/>
      <c r="V190" s="12"/>
      <c r="W190" s="12"/>
      <c r="X190" s="12"/>
      <c r="Y190" s="12"/>
      <c r="Z190" s="12"/>
    </row>
    <row r="191" spans="1:26" ht="28.2" thickBot="1" x14ac:dyDescent="0.35">
      <c r="A191" s="15">
        <v>44398</v>
      </c>
      <c r="B191" s="16" t="s">
        <v>263</v>
      </c>
      <c r="C191" s="16" t="s">
        <v>264</v>
      </c>
      <c r="D191" s="16" t="s">
        <v>272</v>
      </c>
      <c r="E191" s="16" t="s">
        <v>273</v>
      </c>
      <c r="F191" s="17">
        <v>32</v>
      </c>
      <c r="G191" s="17">
        <v>1.87</v>
      </c>
      <c r="H191" s="17">
        <v>60</v>
      </c>
      <c r="I191" s="18" t="b">
        <f t="shared" si="4"/>
        <v>1</v>
      </c>
      <c r="J191" s="18" t="b">
        <f t="shared" si="5"/>
        <v>0</v>
      </c>
      <c r="K191" s="12"/>
      <c r="L191" s="12"/>
      <c r="M191" s="18" t="b">
        <v>1</v>
      </c>
      <c r="N191" s="18" t="b">
        <v>0</v>
      </c>
      <c r="O191" s="12"/>
      <c r="P191" s="12"/>
      <c r="Q191" s="12"/>
      <c r="R191" s="12"/>
      <c r="S191" s="12"/>
      <c r="T191" s="12"/>
      <c r="U191" s="12"/>
      <c r="V191" s="12"/>
      <c r="W191" s="12"/>
      <c r="X191" s="12"/>
      <c r="Y191" s="12"/>
      <c r="Z191" s="12"/>
    </row>
    <row r="192" spans="1:26" ht="28.2" thickBot="1" x14ac:dyDescent="0.35">
      <c r="A192" s="15">
        <v>44401</v>
      </c>
      <c r="B192" s="16" t="s">
        <v>263</v>
      </c>
      <c r="C192" s="16" t="s">
        <v>264</v>
      </c>
      <c r="D192" s="16" t="s">
        <v>268</v>
      </c>
      <c r="E192" s="16" t="s">
        <v>269</v>
      </c>
      <c r="F192" s="17">
        <v>23</v>
      </c>
      <c r="G192" s="17">
        <v>3.49</v>
      </c>
      <c r="H192" s="17">
        <v>80</v>
      </c>
      <c r="I192" s="18" t="b">
        <f t="shared" si="4"/>
        <v>1</v>
      </c>
      <c r="J192" s="18" t="b">
        <f t="shared" si="5"/>
        <v>0</v>
      </c>
      <c r="K192" s="12"/>
      <c r="L192" s="12"/>
      <c r="M192" s="18" t="b">
        <v>1</v>
      </c>
      <c r="N192" s="18" t="b">
        <v>0</v>
      </c>
      <c r="O192" s="12"/>
      <c r="P192" s="12"/>
      <c r="Q192" s="12"/>
      <c r="R192" s="12"/>
      <c r="S192" s="12"/>
      <c r="T192" s="12"/>
      <c r="U192" s="12"/>
      <c r="V192" s="12"/>
      <c r="W192" s="12"/>
      <c r="X192" s="12"/>
      <c r="Y192" s="12"/>
      <c r="Z192" s="12"/>
    </row>
    <row r="193" spans="1:26" ht="28.2" thickBot="1" x14ac:dyDescent="0.35">
      <c r="A193" s="15">
        <v>44404</v>
      </c>
      <c r="B193" s="16" t="s">
        <v>270</v>
      </c>
      <c r="C193" s="16" t="s">
        <v>271</v>
      </c>
      <c r="D193" s="16" t="s">
        <v>272</v>
      </c>
      <c r="E193" s="16" t="s">
        <v>276</v>
      </c>
      <c r="F193" s="17">
        <v>20</v>
      </c>
      <c r="G193" s="17">
        <v>2.1800000000000002</v>
      </c>
      <c r="H193" s="17">
        <v>44</v>
      </c>
      <c r="I193" s="18" t="b">
        <f t="shared" si="4"/>
        <v>0</v>
      </c>
      <c r="J193" s="18" t="b">
        <f t="shared" si="5"/>
        <v>0</v>
      </c>
      <c r="K193" s="12"/>
      <c r="L193" s="12"/>
      <c r="M193" s="18" t="b">
        <v>0</v>
      </c>
      <c r="N193" s="18" t="b">
        <v>0</v>
      </c>
      <c r="O193" s="12"/>
      <c r="P193" s="12"/>
      <c r="Q193" s="12"/>
      <c r="R193" s="12"/>
      <c r="S193" s="12"/>
      <c r="T193" s="12"/>
      <c r="U193" s="12"/>
      <c r="V193" s="12"/>
      <c r="W193" s="12"/>
      <c r="X193" s="12"/>
      <c r="Y193" s="12"/>
      <c r="Z193" s="12"/>
    </row>
    <row r="194" spans="1:26" ht="28.2" thickBot="1" x14ac:dyDescent="0.35">
      <c r="A194" s="15">
        <v>44407</v>
      </c>
      <c r="B194" s="16" t="s">
        <v>270</v>
      </c>
      <c r="C194" s="16" t="s">
        <v>271</v>
      </c>
      <c r="D194" s="16" t="s">
        <v>272</v>
      </c>
      <c r="E194" s="16" t="s">
        <v>273</v>
      </c>
      <c r="F194" s="17">
        <v>64</v>
      </c>
      <c r="G194" s="17">
        <v>1.87</v>
      </c>
      <c r="H194" s="17">
        <v>120</v>
      </c>
      <c r="I194" s="18" t="b">
        <f t="shared" si="4"/>
        <v>1</v>
      </c>
      <c r="J194" s="18" t="b">
        <f t="shared" si="5"/>
        <v>1</v>
      </c>
      <c r="K194" s="12"/>
      <c r="L194" s="12"/>
      <c r="M194" s="18" t="b">
        <v>1</v>
      </c>
      <c r="N194" s="18" t="b">
        <v>1</v>
      </c>
      <c r="O194" s="12"/>
      <c r="P194" s="12"/>
      <c r="Q194" s="12"/>
      <c r="R194" s="12"/>
      <c r="S194" s="12"/>
      <c r="T194" s="12"/>
      <c r="U194" s="12"/>
      <c r="V194" s="12"/>
      <c r="W194" s="12"/>
      <c r="X194" s="12"/>
      <c r="Y194" s="12"/>
      <c r="Z194" s="12"/>
    </row>
    <row r="195" spans="1:26" ht="15" thickBot="1" x14ac:dyDescent="0.35">
      <c r="A195" s="15">
        <v>44410</v>
      </c>
      <c r="B195" s="16" t="s">
        <v>263</v>
      </c>
      <c r="C195" s="16" t="s">
        <v>274</v>
      </c>
      <c r="D195" s="16" t="s">
        <v>265</v>
      </c>
      <c r="E195" s="16" t="s">
        <v>266</v>
      </c>
      <c r="F195" s="17">
        <v>71</v>
      </c>
      <c r="G195" s="17">
        <v>1.77</v>
      </c>
      <c r="H195" s="17">
        <v>126</v>
      </c>
      <c r="I195" s="18" t="b">
        <f t="shared" ref="I195:I245" si="6">AND(OR(AND(B195="East", C195="Boston"), AND(D195="Cookies", E195="Chocolate Chip")), H195&lt;500)</f>
        <v>0</v>
      </c>
      <c r="J195" s="18" t="b">
        <f t="shared" ref="J195:J245" si="7">OR(
   AND(NOT(OR(B195="East", C195="Boston")), D195="Cookies", E195="Chocolate Chip"),
   H195&gt;500
)</f>
        <v>0</v>
      </c>
      <c r="K195" s="12"/>
      <c r="L195" s="12"/>
      <c r="M195" s="18" t="b">
        <v>0</v>
      </c>
      <c r="N195" s="18" t="b">
        <v>0</v>
      </c>
      <c r="O195" s="12"/>
      <c r="P195" s="12"/>
      <c r="Q195" s="12"/>
      <c r="R195" s="12"/>
      <c r="S195" s="12"/>
      <c r="T195" s="12"/>
      <c r="U195" s="12"/>
      <c r="V195" s="12"/>
      <c r="W195" s="12"/>
      <c r="X195" s="12"/>
      <c r="Y195" s="12"/>
      <c r="Z195" s="12"/>
    </row>
    <row r="196" spans="1:26" ht="28.2" thickBot="1" x14ac:dyDescent="0.35">
      <c r="A196" s="15">
        <v>44413</v>
      </c>
      <c r="B196" s="16" t="s">
        <v>270</v>
      </c>
      <c r="C196" s="16" t="s">
        <v>282</v>
      </c>
      <c r="D196" s="16" t="s">
        <v>272</v>
      </c>
      <c r="E196" s="16" t="s">
        <v>276</v>
      </c>
      <c r="F196" s="17">
        <v>90</v>
      </c>
      <c r="G196" s="17">
        <v>2.1800000000000002</v>
      </c>
      <c r="H196" s="17">
        <v>196</v>
      </c>
      <c r="I196" s="18" t="b">
        <f t="shared" si="6"/>
        <v>0</v>
      </c>
      <c r="J196" s="18" t="b">
        <f t="shared" si="7"/>
        <v>0</v>
      </c>
      <c r="K196" s="12"/>
      <c r="L196" s="12"/>
      <c r="M196" s="18" t="b">
        <v>0</v>
      </c>
      <c r="N196" s="18" t="b">
        <v>0</v>
      </c>
      <c r="O196" s="12"/>
      <c r="P196" s="12"/>
      <c r="Q196" s="12"/>
      <c r="R196" s="12"/>
      <c r="S196" s="12"/>
      <c r="T196" s="12"/>
      <c r="U196" s="12"/>
      <c r="V196" s="12"/>
      <c r="W196" s="12"/>
      <c r="X196" s="12"/>
      <c r="Y196" s="12"/>
      <c r="Z196" s="12"/>
    </row>
    <row r="197" spans="1:26" ht="28.2" thickBot="1" x14ac:dyDescent="0.35">
      <c r="A197" s="15">
        <v>44416</v>
      </c>
      <c r="B197" s="16" t="s">
        <v>270</v>
      </c>
      <c r="C197" s="16" t="s">
        <v>282</v>
      </c>
      <c r="D197" s="16" t="s">
        <v>272</v>
      </c>
      <c r="E197" s="16" t="s">
        <v>280</v>
      </c>
      <c r="F197" s="17">
        <v>38</v>
      </c>
      <c r="G197" s="17">
        <v>2.84</v>
      </c>
      <c r="H197" s="17">
        <v>108</v>
      </c>
      <c r="I197" s="18" t="b">
        <f t="shared" si="6"/>
        <v>0</v>
      </c>
      <c r="J197" s="18" t="b">
        <f t="shared" si="7"/>
        <v>0</v>
      </c>
      <c r="K197" s="12"/>
      <c r="L197" s="12"/>
      <c r="M197" s="18" t="b">
        <v>0</v>
      </c>
      <c r="N197" s="18" t="b">
        <v>0</v>
      </c>
      <c r="O197" s="12"/>
      <c r="P197" s="12"/>
      <c r="Q197" s="12"/>
      <c r="R197" s="12"/>
      <c r="S197" s="12"/>
      <c r="T197" s="12"/>
      <c r="U197" s="12"/>
      <c r="V197" s="12"/>
      <c r="W197" s="12"/>
      <c r="X197" s="12"/>
      <c r="Y197" s="12"/>
      <c r="Z197" s="12"/>
    </row>
    <row r="198" spans="1:26" ht="15" thickBot="1" x14ac:dyDescent="0.35">
      <c r="A198" s="15">
        <v>44419</v>
      </c>
      <c r="B198" s="16" t="s">
        <v>263</v>
      </c>
      <c r="C198" s="16" t="s">
        <v>264</v>
      </c>
      <c r="D198" s="16" t="s">
        <v>265</v>
      </c>
      <c r="E198" s="16" t="s">
        <v>266</v>
      </c>
      <c r="F198" s="17">
        <v>55</v>
      </c>
      <c r="G198" s="17">
        <v>1.77</v>
      </c>
      <c r="H198" s="17">
        <v>97</v>
      </c>
      <c r="I198" s="18" t="b">
        <f t="shared" si="6"/>
        <v>1</v>
      </c>
      <c r="J198" s="18" t="b">
        <f t="shared" si="7"/>
        <v>0</v>
      </c>
      <c r="K198" s="12"/>
      <c r="L198" s="12"/>
      <c r="M198" s="18" t="b">
        <v>1</v>
      </c>
      <c r="N198" s="18" t="b">
        <v>0</v>
      </c>
      <c r="O198" s="12"/>
      <c r="P198" s="12"/>
      <c r="Q198" s="12"/>
      <c r="R198" s="12"/>
      <c r="S198" s="12"/>
      <c r="T198" s="12"/>
      <c r="U198" s="12"/>
      <c r="V198" s="12"/>
      <c r="W198" s="12"/>
      <c r="X198" s="12"/>
      <c r="Y198" s="12"/>
      <c r="Z198" s="12"/>
    </row>
    <row r="199" spans="1:26" ht="15" thickBot="1" x14ac:dyDescent="0.35">
      <c r="A199" s="15">
        <v>44422</v>
      </c>
      <c r="B199" s="16" t="s">
        <v>263</v>
      </c>
      <c r="C199" s="16" t="s">
        <v>264</v>
      </c>
      <c r="D199" s="16" t="s">
        <v>278</v>
      </c>
      <c r="E199" s="16" t="s">
        <v>283</v>
      </c>
      <c r="F199" s="17">
        <v>22</v>
      </c>
      <c r="G199" s="17">
        <v>3.15</v>
      </c>
      <c r="H199" s="17">
        <v>69</v>
      </c>
      <c r="I199" s="18" t="b">
        <f t="shared" si="6"/>
        <v>1</v>
      </c>
      <c r="J199" s="18" t="b">
        <f t="shared" si="7"/>
        <v>0</v>
      </c>
      <c r="K199" s="12"/>
      <c r="L199" s="12"/>
      <c r="M199" s="18" t="b">
        <v>1</v>
      </c>
      <c r="N199" s="18" t="b">
        <v>0</v>
      </c>
      <c r="O199" s="12"/>
      <c r="P199" s="12"/>
      <c r="Q199" s="12"/>
      <c r="R199" s="12"/>
      <c r="S199" s="12"/>
      <c r="T199" s="12"/>
      <c r="U199" s="12"/>
      <c r="V199" s="12"/>
      <c r="W199" s="12"/>
      <c r="X199" s="12"/>
      <c r="Y199" s="12"/>
      <c r="Z199" s="12"/>
    </row>
    <row r="200" spans="1:26" ht="28.2" thickBot="1" x14ac:dyDescent="0.35">
      <c r="A200" s="15">
        <v>44425</v>
      </c>
      <c r="B200" s="16" t="s">
        <v>270</v>
      </c>
      <c r="C200" s="16" t="s">
        <v>271</v>
      </c>
      <c r="D200" s="16" t="s">
        <v>265</v>
      </c>
      <c r="E200" s="16" t="s">
        <v>266</v>
      </c>
      <c r="F200" s="17">
        <v>34</v>
      </c>
      <c r="G200" s="17">
        <v>1.77</v>
      </c>
      <c r="H200" s="17">
        <v>60</v>
      </c>
      <c r="I200" s="18" t="b">
        <f t="shared" si="6"/>
        <v>0</v>
      </c>
      <c r="J200" s="18" t="b">
        <f t="shared" si="7"/>
        <v>0</v>
      </c>
      <c r="K200" s="12"/>
      <c r="L200" s="12"/>
      <c r="M200" s="18" t="b">
        <v>0</v>
      </c>
      <c r="N200" s="18" t="b">
        <v>0</v>
      </c>
      <c r="O200" s="12"/>
      <c r="P200" s="12"/>
      <c r="Q200" s="12"/>
      <c r="R200" s="12"/>
      <c r="S200" s="12"/>
      <c r="T200" s="12"/>
      <c r="U200" s="12"/>
      <c r="V200" s="12"/>
      <c r="W200" s="12"/>
      <c r="X200" s="12"/>
      <c r="Y200" s="12"/>
      <c r="Z200" s="12"/>
    </row>
    <row r="201" spans="1:26" ht="15" thickBot="1" x14ac:dyDescent="0.35">
      <c r="A201" s="15">
        <v>44428</v>
      </c>
      <c r="B201" s="16" t="s">
        <v>263</v>
      </c>
      <c r="C201" s="16" t="s">
        <v>274</v>
      </c>
      <c r="D201" s="16" t="s">
        <v>265</v>
      </c>
      <c r="E201" s="16" t="s">
        <v>281</v>
      </c>
      <c r="F201" s="17">
        <v>39</v>
      </c>
      <c r="G201" s="17">
        <v>1.87</v>
      </c>
      <c r="H201" s="17">
        <v>73</v>
      </c>
      <c r="I201" s="18" t="b">
        <f t="shared" si="6"/>
        <v>0</v>
      </c>
      <c r="J201" s="18" t="b">
        <f t="shared" si="7"/>
        <v>0</v>
      </c>
      <c r="K201" s="12"/>
      <c r="L201" s="12"/>
      <c r="M201" s="18" t="b">
        <v>0</v>
      </c>
      <c r="N201" s="18" t="b">
        <v>0</v>
      </c>
      <c r="O201" s="12"/>
      <c r="P201" s="12"/>
      <c r="Q201" s="12"/>
      <c r="R201" s="12"/>
      <c r="S201" s="12"/>
      <c r="T201" s="12"/>
      <c r="U201" s="12"/>
      <c r="V201" s="12"/>
      <c r="W201" s="12"/>
      <c r="X201" s="12"/>
      <c r="Y201" s="12"/>
      <c r="Z201" s="12"/>
    </row>
    <row r="202" spans="1:26" ht="28.2" thickBot="1" x14ac:dyDescent="0.35">
      <c r="A202" s="15">
        <v>44431</v>
      </c>
      <c r="B202" s="16" t="s">
        <v>263</v>
      </c>
      <c r="C202" s="16" t="s">
        <v>274</v>
      </c>
      <c r="D202" s="16" t="s">
        <v>272</v>
      </c>
      <c r="E202" s="16" t="s">
        <v>280</v>
      </c>
      <c r="F202" s="17">
        <v>41</v>
      </c>
      <c r="G202" s="17">
        <v>2.84</v>
      </c>
      <c r="H202" s="17">
        <v>116</v>
      </c>
      <c r="I202" s="18" t="b">
        <f t="shared" si="6"/>
        <v>0</v>
      </c>
      <c r="J202" s="18" t="b">
        <f t="shared" si="7"/>
        <v>0</v>
      </c>
      <c r="K202" s="12"/>
      <c r="L202" s="12"/>
      <c r="M202" s="18" t="b">
        <v>0</v>
      </c>
      <c r="N202" s="18" t="b">
        <v>0</v>
      </c>
      <c r="O202" s="12"/>
      <c r="P202" s="12"/>
      <c r="Q202" s="12"/>
      <c r="R202" s="12"/>
      <c r="S202" s="12"/>
      <c r="T202" s="12"/>
      <c r="U202" s="12"/>
      <c r="V202" s="12"/>
      <c r="W202" s="12"/>
      <c r="X202" s="12"/>
      <c r="Y202" s="12"/>
      <c r="Z202" s="12"/>
    </row>
    <row r="203" spans="1:26" ht="15" thickBot="1" x14ac:dyDescent="0.35">
      <c r="A203" s="15">
        <v>44434</v>
      </c>
      <c r="B203" s="16" t="s">
        <v>270</v>
      </c>
      <c r="C203" s="16" t="s">
        <v>282</v>
      </c>
      <c r="D203" s="16" t="s">
        <v>265</v>
      </c>
      <c r="E203" s="16" t="s">
        <v>266</v>
      </c>
      <c r="F203" s="17">
        <v>41</v>
      </c>
      <c r="G203" s="17">
        <v>1.77</v>
      </c>
      <c r="H203" s="17">
        <v>73</v>
      </c>
      <c r="I203" s="18" t="b">
        <f t="shared" si="6"/>
        <v>0</v>
      </c>
      <c r="J203" s="18" t="b">
        <f t="shared" si="7"/>
        <v>0</v>
      </c>
      <c r="K203" s="12"/>
      <c r="L203" s="12"/>
      <c r="M203" s="18" t="b">
        <v>0</v>
      </c>
      <c r="N203" s="18" t="b">
        <v>0</v>
      </c>
      <c r="O203" s="12"/>
      <c r="P203" s="12"/>
      <c r="Q203" s="12"/>
      <c r="R203" s="12"/>
      <c r="S203" s="12"/>
      <c r="T203" s="12"/>
      <c r="U203" s="12"/>
      <c r="V203" s="12"/>
      <c r="W203" s="12"/>
      <c r="X203" s="12"/>
      <c r="Y203" s="12"/>
      <c r="Z203" s="12"/>
    </row>
    <row r="204" spans="1:26" ht="28.2" thickBot="1" x14ac:dyDescent="0.35">
      <c r="A204" s="15">
        <v>44437</v>
      </c>
      <c r="B204" s="16" t="s">
        <v>263</v>
      </c>
      <c r="C204" s="16" t="s">
        <v>264</v>
      </c>
      <c r="D204" s="16" t="s">
        <v>272</v>
      </c>
      <c r="E204" s="16" t="s">
        <v>276</v>
      </c>
      <c r="F204" s="17">
        <v>136</v>
      </c>
      <c r="G204" s="17">
        <v>2.1800000000000002</v>
      </c>
      <c r="H204" s="17">
        <v>296</v>
      </c>
      <c r="I204" s="18" t="b">
        <f t="shared" si="6"/>
        <v>1</v>
      </c>
      <c r="J204" s="18" t="b">
        <f t="shared" si="7"/>
        <v>0</v>
      </c>
      <c r="K204" s="12"/>
      <c r="L204" s="12"/>
      <c r="M204" s="18" t="b">
        <v>1</v>
      </c>
      <c r="N204" s="18" t="b">
        <v>0</v>
      </c>
      <c r="O204" s="12"/>
      <c r="P204" s="12"/>
      <c r="Q204" s="12"/>
      <c r="R204" s="12"/>
      <c r="S204" s="12"/>
      <c r="T204" s="12"/>
      <c r="U204" s="12"/>
      <c r="V204" s="12"/>
      <c r="W204" s="12"/>
      <c r="X204" s="12"/>
      <c r="Y204" s="12"/>
      <c r="Z204" s="12"/>
    </row>
    <row r="205" spans="1:26" ht="15" thickBot="1" x14ac:dyDescent="0.35">
      <c r="A205" s="15">
        <v>44440</v>
      </c>
      <c r="B205" s="16" t="s">
        <v>263</v>
      </c>
      <c r="C205" s="16" t="s">
        <v>264</v>
      </c>
      <c r="D205" s="16" t="s">
        <v>265</v>
      </c>
      <c r="E205" s="16" t="s">
        <v>266</v>
      </c>
      <c r="F205" s="17">
        <v>25</v>
      </c>
      <c r="G205" s="17">
        <v>1.77</v>
      </c>
      <c r="H205" s="17">
        <v>44</v>
      </c>
      <c r="I205" s="18" t="b">
        <f t="shared" si="6"/>
        <v>1</v>
      </c>
      <c r="J205" s="18" t="b">
        <f t="shared" si="7"/>
        <v>0</v>
      </c>
      <c r="K205" s="12"/>
      <c r="L205" s="12"/>
      <c r="M205" s="18" t="b">
        <v>1</v>
      </c>
      <c r="N205" s="18" t="b">
        <v>0</v>
      </c>
      <c r="O205" s="12"/>
      <c r="P205" s="12"/>
      <c r="Q205" s="12"/>
      <c r="R205" s="12"/>
      <c r="S205" s="12"/>
      <c r="T205" s="12"/>
      <c r="U205" s="12"/>
      <c r="V205" s="12"/>
      <c r="W205" s="12"/>
      <c r="X205" s="12"/>
      <c r="Y205" s="12"/>
      <c r="Z205" s="12"/>
    </row>
    <row r="206" spans="1:26" ht="15" thickBot="1" x14ac:dyDescent="0.35">
      <c r="A206" s="15">
        <v>44443</v>
      </c>
      <c r="B206" s="16" t="s">
        <v>263</v>
      </c>
      <c r="C206" s="16" t="s">
        <v>264</v>
      </c>
      <c r="D206" s="16" t="s">
        <v>278</v>
      </c>
      <c r="E206" s="16" t="s">
        <v>283</v>
      </c>
      <c r="F206" s="17">
        <v>26</v>
      </c>
      <c r="G206" s="17">
        <v>3.15</v>
      </c>
      <c r="H206" s="17">
        <v>82</v>
      </c>
      <c r="I206" s="18" t="b">
        <f t="shared" si="6"/>
        <v>1</v>
      </c>
      <c r="J206" s="18" t="b">
        <f t="shared" si="7"/>
        <v>0</v>
      </c>
      <c r="K206" s="12"/>
      <c r="L206" s="12"/>
      <c r="M206" s="18" t="b">
        <v>1</v>
      </c>
      <c r="N206" s="18" t="b">
        <v>0</v>
      </c>
      <c r="O206" s="12"/>
      <c r="P206" s="12"/>
      <c r="Q206" s="12"/>
      <c r="R206" s="12"/>
      <c r="S206" s="12"/>
      <c r="T206" s="12"/>
      <c r="U206" s="12"/>
      <c r="V206" s="12"/>
      <c r="W206" s="12"/>
      <c r="X206" s="12"/>
      <c r="Y206" s="12"/>
      <c r="Z206" s="12"/>
    </row>
    <row r="207" spans="1:26" ht="28.2" thickBot="1" x14ac:dyDescent="0.35">
      <c r="A207" s="15">
        <v>44446</v>
      </c>
      <c r="B207" s="16" t="s">
        <v>270</v>
      </c>
      <c r="C207" s="16" t="s">
        <v>271</v>
      </c>
      <c r="D207" s="16" t="s">
        <v>265</v>
      </c>
      <c r="E207" s="16" t="s">
        <v>281</v>
      </c>
      <c r="F207" s="17">
        <v>50</v>
      </c>
      <c r="G207" s="17">
        <v>1.87</v>
      </c>
      <c r="H207" s="17">
        <v>94</v>
      </c>
      <c r="I207" s="18" t="b">
        <f t="shared" si="6"/>
        <v>0</v>
      </c>
      <c r="J207" s="18" t="b">
        <f t="shared" si="7"/>
        <v>0</v>
      </c>
      <c r="K207" s="12"/>
      <c r="L207" s="12"/>
      <c r="M207" s="18" t="b">
        <v>0</v>
      </c>
      <c r="N207" s="18" t="b">
        <v>0</v>
      </c>
      <c r="O207" s="12"/>
      <c r="P207" s="12"/>
      <c r="Q207" s="12"/>
      <c r="R207" s="12"/>
      <c r="S207" s="12"/>
      <c r="T207" s="12"/>
      <c r="U207" s="12"/>
      <c r="V207" s="12"/>
      <c r="W207" s="12"/>
      <c r="X207" s="12"/>
      <c r="Y207" s="12"/>
      <c r="Z207" s="12"/>
    </row>
    <row r="208" spans="1:26" ht="28.2" thickBot="1" x14ac:dyDescent="0.35">
      <c r="A208" s="15">
        <v>44449</v>
      </c>
      <c r="B208" s="16" t="s">
        <v>270</v>
      </c>
      <c r="C208" s="16" t="s">
        <v>271</v>
      </c>
      <c r="D208" s="16" t="s">
        <v>272</v>
      </c>
      <c r="E208" s="16" t="s">
        <v>280</v>
      </c>
      <c r="F208" s="17">
        <v>79</v>
      </c>
      <c r="G208" s="17">
        <v>2.84</v>
      </c>
      <c r="H208" s="17">
        <v>224</v>
      </c>
      <c r="I208" s="18" t="b">
        <f t="shared" si="6"/>
        <v>0</v>
      </c>
      <c r="J208" s="18" t="b">
        <f t="shared" si="7"/>
        <v>0</v>
      </c>
      <c r="K208" s="12"/>
      <c r="L208" s="12"/>
      <c r="M208" s="18" t="b">
        <v>0</v>
      </c>
      <c r="N208" s="18" t="b">
        <v>0</v>
      </c>
      <c r="O208" s="12"/>
      <c r="P208" s="12"/>
      <c r="Q208" s="12"/>
      <c r="R208" s="12"/>
      <c r="S208" s="12"/>
      <c r="T208" s="12"/>
      <c r="U208" s="12"/>
      <c r="V208" s="12"/>
      <c r="W208" s="12"/>
      <c r="X208" s="12"/>
      <c r="Y208" s="12"/>
      <c r="Z208" s="12"/>
    </row>
    <row r="209" spans="1:26" ht="15" thickBot="1" x14ac:dyDescent="0.35">
      <c r="A209" s="15">
        <v>44452</v>
      </c>
      <c r="B209" s="16" t="s">
        <v>263</v>
      </c>
      <c r="C209" s="16" t="s">
        <v>274</v>
      </c>
      <c r="D209" s="16" t="s">
        <v>265</v>
      </c>
      <c r="E209" s="16" t="s">
        <v>266</v>
      </c>
      <c r="F209" s="17">
        <v>30</v>
      </c>
      <c r="G209" s="17">
        <v>1.77</v>
      </c>
      <c r="H209" s="17">
        <v>53</v>
      </c>
      <c r="I209" s="18" t="b">
        <f t="shared" si="6"/>
        <v>0</v>
      </c>
      <c r="J209" s="18" t="b">
        <f t="shared" si="7"/>
        <v>0</v>
      </c>
      <c r="K209" s="12"/>
      <c r="L209" s="12"/>
      <c r="M209" s="18" t="b">
        <v>0</v>
      </c>
      <c r="N209" s="18" t="b">
        <v>0</v>
      </c>
      <c r="O209" s="12"/>
      <c r="P209" s="12"/>
      <c r="Q209" s="12"/>
      <c r="R209" s="12"/>
      <c r="S209" s="12"/>
      <c r="T209" s="12"/>
      <c r="U209" s="12"/>
      <c r="V209" s="12"/>
      <c r="W209" s="12"/>
      <c r="X209" s="12"/>
      <c r="Y209" s="12"/>
      <c r="Z209" s="12"/>
    </row>
    <row r="210" spans="1:26" ht="28.2" thickBot="1" x14ac:dyDescent="0.35">
      <c r="A210" s="15">
        <v>44455</v>
      </c>
      <c r="B210" s="16" t="s">
        <v>263</v>
      </c>
      <c r="C210" s="16" t="s">
        <v>274</v>
      </c>
      <c r="D210" s="16" t="s">
        <v>278</v>
      </c>
      <c r="E210" s="16" t="s">
        <v>279</v>
      </c>
      <c r="F210" s="17">
        <v>20</v>
      </c>
      <c r="G210" s="17">
        <v>1.68</v>
      </c>
      <c r="H210" s="17">
        <v>34</v>
      </c>
      <c r="I210" s="18" t="b">
        <f t="shared" si="6"/>
        <v>0</v>
      </c>
      <c r="J210" s="18" t="b">
        <f t="shared" si="7"/>
        <v>0</v>
      </c>
      <c r="K210" s="12"/>
      <c r="L210" s="12"/>
      <c r="M210" s="18" t="b">
        <v>0</v>
      </c>
      <c r="N210" s="18" t="b">
        <v>0</v>
      </c>
      <c r="O210" s="12"/>
      <c r="P210" s="12"/>
      <c r="Q210" s="12"/>
      <c r="R210" s="12"/>
      <c r="S210" s="12"/>
      <c r="T210" s="12"/>
      <c r="U210" s="12"/>
      <c r="V210" s="12"/>
      <c r="W210" s="12"/>
      <c r="X210" s="12"/>
      <c r="Y210" s="12"/>
      <c r="Z210" s="12"/>
    </row>
    <row r="211" spans="1:26" ht="15" thickBot="1" x14ac:dyDescent="0.35">
      <c r="A211" s="15">
        <v>44458</v>
      </c>
      <c r="B211" s="16" t="s">
        <v>270</v>
      </c>
      <c r="C211" s="16" t="s">
        <v>282</v>
      </c>
      <c r="D211" s="16" t="s">
        <v>265</v>
      </c>
      <c r="E211" s="16" t="s">
        <v>266</v>
      </c>
      <c r="F211" s="17">
        <v>49</v>
      </c>
      <c r="G211" s="17">
        <v>1.77</v>
      </c>
      <c r="H211" s="17">
        <v>87</v>
      </c>
      <c r="I211" s="18" t="b">
        <f t="shared" si="6"/>
        <v>0</v>
      </c>
      <c r="J211" s="18" t="b">
        <f t="shared" si="7"/>
        <v>0</v>
      </c>
      <c r="K211" s="12"/>
      <c r="L211" s="12"/>
      <c r="M211" s="18" t="b">
        <v>0</v>
      </c>
      <c r="N211" s="18" t="b">
        <v>0</v>
      </c>
      <c r="O211" s="12"/>
      <c r="P211" s="12"/>
      <c r="Q211" s="12"/>
      <c r="R211" s="12"/>
      <c r="S211" s="12"/>
      <c r="T211" s="12"/>
      <c r="U211" s="12"/>
      <c r="V211" s="12"/>
      <c r="W211" s="12"/>
      <c r="X211" s="12"/>
      <c r="Y211" s="12"/>
      <c r="Z211" s="12"/>
    </row>
    <row r="212" spans="1:26" ht="28.2" thickBot="1" x14ac:dyDescent="0.35">
      <c r="A212" s="15">
        <v>44461</v>
      </c>
      <c r="B212" s="16" t="s">
        <v>263</v>
      </c>
      <c r="C212" s="16" t="s">
        <v>264</v>
      </c>
      <c r="D212" s="16" t="s">
        <v>272</v>
      </c>
      <c r="E212" s="16" t="s">
        <v>276</v>
      </c>
      <c r="F212" s="17">
        <v>40</v>
      </c>
      <c r="G212" s="17">
        <v>2.1800000000000002</v>
      </c>
      <c r="H212" s="17">
        <v>87</v>
      </c>
      <c r="I212" s="18" t="b">
        <f t="shared" si="6"/>
        <v>1</v>
      </c>
      <c r="J212" s="18" t="b">
        <f t="shared" si="7"/>
        <v>0</v>
      </c>
      <c r="K212" s="12"/>
      <c r="L212" s="12"/>
      <c r="M212" s="18" t="b">
        <v>1</v>
      </c>
      <c r="N212" s="18" t="b">
        <v>0</v>
      </c>
      <c r="O212" s="12"/>
      <c r="P212" s="12"/>
      <c r="Q212" s="12"/>
      <c r="R212" s="12"/>
      <c r="S212" s="12"/>
      <c r="T212" s="12"/>
      <c r="U212" s="12"/>
      <c r="V212" s="12"/>
      <c r="W212" s="12"/>
      <c r="X212" s="12"/>
      <c r="Y212" s="12"/>
      <c r="Z212" s="12"/>
    </row>
    <row r="213" spans="1:26" ht="15" thickBot="1" x14ac:dyDescent="0.35">
      <c r="A213" s="15">
        <v>44464</v>
      </c>
      <c r="B213" s="16" t="s">
        <v>263</v>
      </c>
      <c r="C213" s="16" t="s">
        <v>264</v>
      </c>
      <c r="D213" s="16" t="s">
        <v>265</v>
      </c>
      <c r="E213" s="16" t="s">
        <v>266</v>
      </c>
      <c r="F213" s="17">
        <v>31</v>
      </c>
      <c r="G213" s="17">
        <v>1.77</v>
      </c>
      <c r="H213" s="17">
        <v>55</v>
      </c>
      <c r="I213" s="18" t="b">
        <f t="shared" si="6"/>
        <v>1</v>
      </c>
      <c r="J213" s="18" t="b">
        <f t="shared" si="7"/>
        <v>0</v>
      </c>
      <c r="K213" s="12"/>
      <c r="L213" s="12"/>
      <c r="M213" s="18" t="b">
        <v>1</v>
      </c>
      <c r="N213" s="18" t="b">
        <v>0</v>
      </c>
      <c r="O213" s="12"/>
      <c r="P213" s="12"/>
      <c r="Q213" s="12"/>
      <c r="R213" s="12"/>
      <c r="S213" s="12"/>
      <c r="T213" s="12"/>
      <c r="U213" s="12"/>
      <c r="V213" s="12"/>
      <c r="W213" s="12"/>
      <c r="X213" s="12"/>
      <c r="Y213" s="12"/>
      <c r="Z213" s="12"/>
    </row>
    <row r="214" spans="1:26" ht="15" thickBot="1" x14ac:dyDescent="0.35">
      <c r="A214" s="15">
        <v>44467</v>
      </c>
      <c r="B214" s="16" t="s">
        <v>263</v>
      </c>
      <c r="C214" s="16" t="s">
        <v>264</v>
      </c>
      <c r="D214" s="16" t="s">
        <v>278</v>
      </c>
      <c r="E214" s="16" t="s">
        <v>283</v>
      </c>
      <c r="F214" s="17">
        <v>21</v>
      </c>
      <c r="G214" s="17">
        <v>3.15</v>
      </c>
      <c r="H214" s="17">
        <v>66</v>
      </c>
      <c r="I214" s="18" t="b">
        <f t="shared" si="6"/>
        <v>1</v>
      </c>
      <c r="J214" s="18" t="b">
        <f t="shared" si="7"/>
        <v>0</v>
      </c>
      <c r="K214" s="12"/>
      <c r="L214" s="12"/>
      <c r="M214" s="18" t="b">
        <v>1</v>
      </c>
      <c r="N214" s="18" t="b">
        <v>0</v>
      </c>
      <c r="O214" s="12"/>
      <c r="P214" s="12"/>
      <c r="Q214" s="12"/>
      <c r="R214" s="12"/>
      <c r="S214" s="12"/>
      <c r="T214" s="12"/>
      <c r="U214" s="12"/>
      <c r="V214" s="12"/>
      <c r="W214" s="12"/>
      <c r="X214" s="12"/>
      <c r="Y214" s="12"/>
      <c r="Z214" s="12"/>
    </row>
    <row r="215" spans="1:26" ht="28.2" thickBot="1" x14ac:dyDescent="0.35">
      <c r="A215" s="15">
        <v>44470</v>
      </c>
      <c r="B215" s="16" t="s">
        <v>270</v>
      </c>
      <c r="C215" s="16" t="s">
        <v>271</v>
      </c>
      <c r="D215" s="16" t="s">
        <v>265</v>
      </c>
      <c r="E215" s="16" t="s">
        <v>281</v>
      </c>
      <c r="F215" s="17">
        <v>43</v>
      </c>
      <c r="G215" s="17">
        <v>1.87</v>
      </c>
      <c r="H215" s="17">
        <v>80</v>
      </c>
      <c r="I215" s="18" t="b">
        <f t="shared" si="6"/>
        <v>0</v>
      </c>
      <c r="J215" s="18" t="b">
        <f t="shared" si="7"/>
        <v>0</v>
      </c>
      <c r="K215" s="12"/>
      <c r="L215" s="12"/>
      <c r="M215" s="18" t="b">
        <v>0</v>
      </c>
      <c r="N215" s="18" t="b">
        <v>0</v>
      </c>
      <c r="O215" s="12"/>
      <c r="P215" s="12"/>
      <c r="Q215" s="12"/>
      <c r="R215" s="12"/>
      <c r="S215" s="12"/>
      <c r="T215" s="12"/>
      <c r="U215" s="12"/>
      <c r="V215" s="12"/>
      <c r="W215" s="12"/>
      <c r="X215" s="12"/>
      <c r="Y215" s="12"/>
      <c r="Z215" s="12"/>
    </row>
    <row r="216" spans="1:26" ht="28.2" thickBot="1" x14ac:dyDescent="0.35">
      <c r="A216" s="15">
        <v>44473</v>
      </c>
      <c r="B216" s="16" t="s">
        <v>270</v>
      </c>
      <c r="C216" s="16" t="s">
        <v>271</v>
      </c>
      <c r="D216" s="16" t="s">
        <v>272</v>
      </c>
      <c r="E216" s="16" t="s">
        <v>280</v>
      </c>
      <c r="F216" s="17">
        <v>47</v>
      </c>
      <c r="G216" s="17">
        <v>2.84</v>
      </c>
      <c r="H216" s="17">
        <v>133</v>
      </c>
      <c r="I216" s="18" t="b">
        <f t="shared" si="6"/>
        <v>0</v>
      </c>
      <c r="J216" s="18" t="b">
        <f t="shared" si="7"/>
        <v>0</v>
      </c>
      <c r="K216" s="12"/>
      <c r="L216" s="12"/>
      <c r="M216" s="18" t="b">
        <v>0</v>
      </c>
      <c r="N216" s="18" t="b">
        <v>0</v>
      </c>
      <c r="O216" s="12"/>
      <c r="P216" s="12"/>
      <c r="Q216" s="12"/>
      <c r="R216" s="12"/>
      <c r="S216" s="12"/>
      <c r="T216" s="12"/>
      <c r="U216" s="12"/>
      <c r="V216" s="12"/>
      <c r="W216" s="12"/>
      <c r="X216" s="12"/>
      <c r="Y216" s="12"/>
      <c r="Z216" s="12"/>
    </row>
    <row r="217" spans="1:26" ht="28.2" thickBot="1" x14ac:dyDescent="0.35">
      <c r="A217" s="15">
        <v>44476</v>
      </c>
      <c r="B217" s="16" t="s">
        <v>263</v>
      </c>
      <c r="C217" s="16" t="s">
        <v>274</v>
      </c>
      <c r="D217" s="16" t="s">
        <v>272</v>
      </c>
      <c r="E217" s="16" t="s">
        <v>276</v>
      </c>
      <c r="F217" s="17">
        <v>175</v>
      </c>
      <c r="G217" s="17">
        <v>2.1800000000000002</v>
      </c>
      <c r="H217" s="17">
        <v>382</v>
      </c>
      <c r="I217" s="18" t="b">
        <f t="shared" si="6"/>
        <v>0</v>
      </c>
      <c r="J217" s="18" t="b">
        <f t="shared" si="7"/>
        <v>0</v>
      </c>
      <c r="K217" s="12"/>
      <c r="L217" s="12"/>
      <c r="M217" s="18" t="b">
        <v>0</v>
      </c>
      <c r="N217" s="18" t="b">
        <v>0</v>
      </c>
      <c r="O217" s="12"/>
      <c r="P217" s="12"/>
      <c r="Q217" s="12"/>
      <c r="R217" s="12"/>
      <c r="S217" s="12"/>
      <c r="T217" s="12"/>
      <c r="U217" s="12"/>
      <c r="V217" s="12"/>
      <c r="W217" s="12"/>
      <c r="X217" s="12"/>
      <c r="Y217" s="12"/>
      <c r="Z217" s="12"/>
    </row>
    <row r="218" spans="1:26" ht="28.2" thickBot="1" x14ac:dyDescent="0.35">
      <c r="A218" s="15">
        <v>44479</v>
      </c>
      <c r="B218" s="16" t="s">
        <v>263</v>
      </c>
      <c r="C218" s="16" t="s">
        <v>274</v>
      </c>
      <c r="D218" s="16" t="s">
        <v>272</v>
      </c>
      <c r="E218" s="16" t="s">
        <v>273</v>
      </c>
      <c r="F218" s="17">
        <v>23</v>
      </c>
      <c r="G218" s="17">
        <v>1.87</v>
      </c>
      <c r="H218" s="17">
        <v>43</v>
      </c>
      <c r="I218" s="18" t="b">
        <f t="shared" si="6"/>
        <v>1</v>
      </c>
      <c r="J218" s="18" t="b">
        <f t="shared" si="7"/>
        <v>0</v>
      </c>
      <c r="K218" s="12"/>
      <c r="L218" s="12"/>
      <c r="M218" s="18" t="b">
        <v>1</v>
      </c>
      <c r="N218" s="18" t="b">
        <v>0</v>
      </c>
      <c r="O218" s="12"/>
      <c r="P218" s="12"/>
      <c r="Q218" s="12"/>
      <c r="R218" s="12"/>
      <c r="S218" s="12"/>
      <c r="T218" s="12"/>
      <c r="U218" s="12"/>
      <c r="V218" s="12"/>
      <c r="W218" s="12"/>
      <c r="X218" s="12"/>
      <c r="Y218" s="12"/>
      <c r="Z218" s="12"/>
    </row>
    <row r="219" spans="1:26" ht="15" thickBot="1" x14ac:dyDescent="0.35">
      <c r="A219" s="15">
        <v>44482</v>
      </c>
      <c r="B219" s="16" t="s">
        <v>270</v>
      </c>
      <c r="C219" s="16" t="s">
        <v>282</v>
      </c>
      <c r="D219" s="16" t="s">
        <v>265</v>
      </c>
      <c r="E219" s="16" t="s">
        <v>266</v>
      </c>
      <c r="F219" s="17">
        <v>40</v>
      </c>
      <c r="G219" s="17">
        <v>1.77</v>
      </c>
      <c r="H219" s="17">
        <v>71</v>
      </c>
      <c r="I219" s="18" t="b">
        <f t="shared" si="6"/>
        <v>0</v>
      </c>
      <c r="J219" s="18" t="b">
        <f t="shared" si="7"/>
        <v>0</v>
      </c>
      <c r="K219" s="12"/>
      <c r="L219" s="12"/>
      <c r="M219" s="18" t="b">
        <v>0</v>
      </c>
      <c r="N219" s="18" t="b">
        <v>0</v>
      </c>
      <c r="O219" s="12"/>
      <c r="P219" s="12"/>
      <c r="Q219" s="12"/>
      <c r="R219" s="12"/>
      <c r="S219" s="12"/>
      <c r="T219" s="12"/>
      <c r="U219" s="12"/>
      <c r="V219" s="12"/>
      <c r="W219" s="12"/>
      <c r="X219" s="12"/>
      <c r="Y219" s="12"/>
      <c r="Z219" s="12"/>
    </row>
    <row r="220" spans="1:26" ht="28.2" thickBot="1" x14ac:dyDescent="0.35">
      <c r="A220" s="15">
        <v>44485</v>
      </c>
      <c r="B220" s="16" t="s">
        <v>263</v>
      </c>
      <c r="C220" s="16" t="s">
        <v>264</v>
      </c>
      <c r="D220" s="16" t="s">
        <v>272</v>
      </c>
      <c r="E220" s="16" t="s">
        <v>276</v>
      </c>
      <c r="F220" s="17">
        <v>87</v>
      </c>
      <c r="G220" s="17">
        <v>2.1800000000000002</v>
      </c>
      <c r="H220" s="17">
        <v>190</v>
      </c>
      <c r="I220" s="18" t="b">
        <f t="shared" si="6"/>
        <v>1</v>
      </c>
      <c r="J220" s="18" t="b">
        <f t="shared" si="7"/>
        <v>0</v>
      </c>
      <c r="K220" s="12"/>
      <c r="L220" s="12"/>
      <c r="M220" s="18" t="b">
        <v>1</v>
      </c>
      <c r="N220" s="18" t="b">
        <v>0</v>
      </c>
      <c r="O220" s="12"/>
      <c r="P220" s="12"/>
      <c r="Q220" s="12"/>
      <c r="R220" s="12"/>
      <c r="S220" s="12"/>
      <c r="T220" s="12"/>
      <c r="U220" s="12"/>
      <c r="V220" s="12"/>
      <c r="W220" s="12"/>
      <c r="X220" s="12"/>
      <c r="Y220" s="12"/>
      <c r="Z220" s="12"/>
    </row>
    <row r="221" spans="1:26" ht="15" thickBot="1" x14ac:dyDescent="0.35">
      <c r="A221" s="15">
        <v>44488</v>
      </c>
      <c r="B221" s="16" t="s">
        <v>263</v>
      </c>
      <c r="C221" s="16" t="s">
        <v>264</v>
      </c>
      <c r="D221" s="16" t="s">
        <v>265</v>
      </c>
      <c r="E221" s="16" t="s">
        <v>266</v>
      </c>
      <c r="F221" s="17">
        <v>43</v>
      </c>
      <c r="G221" s="17">
        <v>1.77</v>
      </c>
      <c r="H221" s="17">
        <v>76</v>
      </c>
      <c r="I221" s="18" t="b">
        <f t="shared" si="6"/>
        <v>1</v>
      </c>
      <c r="J221" s="18" t="b">
        <f t="shared" si="7"/>
        <v>0</v>
      </c>
      <c r="K221" s="12"/>
      <c r="L221" s="12"/>
      <c r="M221" s="18" t="b">
        <v>1</v>
      </c>
      <c r="N221" s="18" t="b">
        <v>0</v>
      </c>
      <c r="O221" s="12"/>
      <c r="P221" s="12"/>
      <c r="Q221" s="12"/>
      <c r="R221" s="12"/>
      <c r="S221" s="12"/>
      <c r="T221" s="12"/>
      <c r="U221" s="12"/>
      <c r="V221" s="12"/>
      <c r="W221" s="12"/>
      <c r="X221" s="12"/>
      <c r="Y221" s="12"/>
      <c r="Z221" s="12"/>
    </row>
    <row r="222" spans="1:26" ht="28.2" thickBot="1" x14ac:dyDescent="0.35">
      <c r="A222" s="15">
        <v>44491</v>
      </c>
      <c r="B222" s="16" t="s">
        <v>263</v>
      </c>
      <c r="C222" s="16" t="s">
        <v>264</v>
      </c>
      <c r="D222" s="16" t="s">
        <v>268</v>
      </c>
      <c r="E222" s="16" t="s">
        <v>269</v>
      </c>
      <c r="F222" s="17">
        <v>30</v>
      </c>
      <c r="G222" s="17">
        <v>3.49</v>
      </c>
      <c r="H222" s="17">
        <v>105</v>
      </c>
      <c r="I222" s="18" t="b">
        <f t="shared" si="6"/>
        <v>1</v>
      </c>
      <c r="J222" s="18" t="b">
        <f t="shared" si="7"/>
        <v>0</v>
      </c>
      <c r="K222" s="12"/>
      <c r="L222" s="12"/>
      <c r="M222" s="18" t="b">
        <v>1</v>
      </c>
      <c r="N222" s="18" t="b">
        <v>0</v>
      </c>
      <c r="O222" s="12"/>
      <c r="P222" s="12"/>
      <c r="Q222" s="12"/>
      <c r="R222" s="12"/>
      <c r="S222" s="12"/>
      <c r="T222" s="12"/>
      <c r="U222" s="12"/>
      <c r="V222" s="12"/>
      <c r="W222" s="12"/>
      <c r="X222" s="12"/>
      <c r="Y222" s="12"/>
      <c r="Z222" s="12"/>
    </row>
    <row r="223" spans="1:26" ht="28.2" thickBot="1" x14ac:dyDescent="0.35">
      <c r="A223" s="15">
        <v>44494</v>
      </c>
      <c r="B223" s="16" t="s">
        <v>270</v>
      </c>
      <c r="C223" s="16" t="s">
        <v>271</v>
      </c>
      <c r="D223" s="16" t="s">
        <v>265</v>
      </c>
      <c r="E223" s="16" t="s">
        <v>266</v>
      </c>
      <c r="F223" s="17">
        <v>35</v>
      </c>
      <c r="G223" s="17">
        <v>1.77</v>
      </c>
      <c r="H223" s="17">
        <v>62</v>
      </c>
      <c r="I223" s="18" t="b">
        <f t="shared" si="6"/>
        <v>0</v>
      </c>
      <c r="J223" s="18" t="b">
        <f t="shared" si="7"/>
        <v>0</v>
      </c>
      <c r="K223" s="12"/>
      <c r="L223" s="12"/>
      <c r="M223" s="18" t="b">
        <v>0</v>
      </c>
      <c r="N223" s="18" t="b">
        <v>0</v>
      </c>
      <c r="O223" s="12"/>
      <c r="P223" s="12"/>
      <c r="Q223" s="12"/>
      <c r="R223" s="12"/>
      <c r="S223" s="12"/>
      <c r="T223" s="12"/>
      <c r="U223" s="12"/>
      <c r="V223" s="12"/>
      <c r="W223" s="12"/>
      <c r="X223" s="12"/>
      <c r="Y223" s="12"/>
      <c r="Z223" s="12"/>
    </row>
    <row r="224" spans="1:26" ht="15" thickBot="1" x14ac:dyDescent="0.35">
      <c r="A224" s="15">
        <v>44497</v>
      </c>
      <c r="B224" s="16" t="s">
        <v>263</v>
      </c>
      <c r="C224" s="16" t="s">
        <v>274</v>
      </c>
      <c r="D224" s="16" t="s">
        <v>265</v>
      </c>
      <c r="E224" s="16" t="s">
        <v>281</v>
      </c>
      <c r="F224" s="17">
        <v>57</v>
      </c>
      <c r="G224" s="17">
        <v>1.87</v>
      </c>
      <c r="H224" s="17">
        <v>107</v>
      </c>
      <c r="I224" s="18" t="b">
        <f t="shared" si="6"/>
        <v>0</v>
      </c>
      <c r="J224" s="18" t="b">
        <f t="shared" si="7"/>
        <v>0</v>
      </c>
      <c r="K224" s="12"/>
      <c r="L224" s="12"/>
      <c r="M224" s="18" t="b">
        <v>0</v>
      </c>
      <c r="N224" s="18" t="b">
        <v>0</v>
      </c>
      <c r="O224" s="12"/>
      <c r="P224" s="12"/>
      <c r="Q224" s="12"/>
      <c r="R224" s="12"/>
      <c r="S224" s="12"/>
      <c r="T224" s="12"/>
      <c r="U224" s="12"/>
      <c r="V224" s="12"/>
      <c r="W224" s="12"/>
      <c r="X224" s="12"/>
      <c r="Y224" s="12"/>
      <c r="Z224" s="12"/>
    </row>
    <row r="225" spans="1:26" ht="28.2" thickBot="1" x14ac:dyDescent="0.35">
      <c r="A225" s="15">
        <v>44500</v>
      </c>
      <c r="B225" s="16" t="s">
        <v>263</v>
      </c>
      <c r="C225" s="16" t="s">
        <v>274</v>
      </c>
      <c r="D225" s="16" t="s">
        <v>278</v>
      </c>
      <c r="E225" s="16" t="s">
        <v>279</v>
      </c>
      <c r="F225" s="17">
        <v>25</v>
      </c>
      <c r="G225" s="17">
        <v>1.68</v>
      </c>
      <c r="H225" s="17">
        <v>42</v>
      </c>
      <c r="I225" s="18" t="b">
        <f t="shared" si="6"/>
        <v>0</v>
      </c>
      <c r="J225" s="18" t="b">
        <f t="shared" si="7"/>
        <v>0</v>
      </c>
      <c r="K225" s="12"/>
      <c r="L225" s="12"/>
      <c r="M225" s="18" t="b">
        <v>0</v>
      </c>
      <c r="N225" s="18" t="b">
        <v>0</v>
      </c>
      <c r="O225" s="12"/>
      <c r="P225" s="12"/>
      <c r="Q225" s="12"/>
      <c r="R225" s="12"/>
      <c r="S225" s="12"/>
      <c r="T225" s="12"/>
      <c r="U225" s="12"/>
      <c r="V225" s="12"/>
      <c r="W225" s="12"/>
      <c r="X225" s="12"/>
      <c r="Y225" s="12"/>
      <c r="Z225" s="12"/>
    </row>
    <row r="226" spans="1:26" ht="28.2" thickBot="1" x14ac:dyDescent="0.35">
      <c r="A226" s="15">
        <v>44503</v>
      </c>
      <c r="B226" s="16" t="s">
        <v>270</v>
      </c>
      <c r="C226" s="16" t="s">
        <v>282</v>
      </c>
      <c r="D226" s="16" t="s">
        <v>272</v>
      </c>
      <c r="E226" s="16" t="s">
        <v>273</v>
      </c>
      <c r="F226" s="17">
        <v>24</v>
      </c>
      <c r="G226" s="17">
        <v>1.87</v>
      </c>
      <c r="H226" s="17">
        <v>45</v>
      </c>
      <c r="I226" s="18" t="b">
        <f t="shared" si="6"/>
        <v>1</v>
      </c>
      <c r="J226" s="18" t="b">
        <f t="shared" si="7"/>
        <v>1</v>
      </c>
      <c r="K226" s="12"/>
      <c r="L226" s="12"/>
      <c r="M226" s="18" t="b">
        <v>1</v>
      </c>
      <c r="N226" s="18" t="b">
        <v>1</v>
      </c>
      <c r="O226" s="12"/>
      <c r="P226" s="12"/>
      <c r="Q226" s="12"/>
      <c r="R226" s="12"/>
      <c r="S226" s="12"/>
      <c r="T226" s="12"/>
      <c r="U226" s="12"/>
      <c r="V226" s="12"/>
      <c r="W226" s="12"/>
      <c r="X226" s="12"/>
      <c r="Y226" s="12"/>
      <c r="Z226" s="12"/>
    </row>
    <row r="227" spans="1:26" ht="15" thickBot="1" x14ac:dyDescent="0.35">
      <c r="A227" s="15">
        <v>44506</v>
      </c>
      <c r="B227" s="16" t="s">
        <v>263</v>
      </c>
      <c r="C227" s="16" t="s">
        <v>264</v>
      </c>
      <c r="D227" s="16" t="s">
        <v>265</v>
      </c>
      <c r="E227" s="16" t="s">
        <v>281</v>
      </c>
      <c r="F227" s="17">
        <v>83</v>
      </c>
      <c r="G227" s="17">
        <v>1.87</v>
      </c>
      <c r="H227" s="17">
        <v>155</v>
      </c>
      <c r="I227" s="18" t="b">
        <f t="shared" si="6"/>
        <v>1</v>
      </c>
      <c r="J227" s="18" t="b">
        <f t="shared" si="7"/>
        <v>0</v>
      </c>
      <c r="K227" s="12"/>
      <c r="L227" s="12"/>
      <c r="M227" s="18" t="b">
        <v>1</v>
      </c>
      <c r="N227" s="18" t="b">
        <v>0</v>
      </c>
      <c r="O227" s="12"/>
      <c r="P227" s="12"/>
      <c r="Q227" s="12"/>
      <c r="R227" s="12"/>
      <c r="S227" s="12"/>
      <c r="T227" s="12"/>
      <c r="U227" s="12"/>
      <c r="V227" s="12"/>
      <c r="W227" s="12"/>
      <c r="X227" s="12"/>
      <c r="Y227" s="12"/>
      <c r="Z227" s="12"/>
    </row>
    <row r="228" spans="1:26" ht="28.2" thickBot="1" x14ac:dyDescent="0.35">
      <c r="A228" s="15">
        <v>44509</v>
      </c>
      <c r="B228" s="16" t="s">
        <v>263</v>
      </c>
      <c r="C228" s="16" t="s">
        <v>264</v>
      </c>
      <c r="D228" s="16" t="s">
        <v>272</v>
      </c>
      <c r="E228" s="16" t="s">
        <v>280</v>
      </c>
      <c r="F228" s="17">
        <v>124</v>
      </c>
      <c r="G228" s="17">
        <v>2.84</v>
      </c>
      <c r="H228" s="17">
        <v>352</v>
      </c>
      <c r="I228" s="18" t="b">
        <f t="shared" si="6"/>
        <v>1</v>
      </c>
      <c r="J228" s="18" t="b">
        <f t="shared" si="7"/>
        <v>0</v>
      </c>
      <c r="K228" s="12"/>
      <c r="L228" s="12"/>
      <c r="M228" s="18" t="b">
        <v>1</v>
      </c>
      <c r="N228" s="18" t="b">
        <v>0</v>
      </c>
      <c r="O228" s="12"/>
      <c r="P228" s="12"/>
      <c r="Q228" s="12"/>
      <c r="R228" s="12"/>
      <c r="S228" s="12"/>
      <c r="T228" s="12"/>
      <c r="U228" s="12"/>
      <c r="V228" s="12"/>
      <c r="W228" s="12"/>
      <c r="X228" s="12"/>
      <c r="Y228" s="12"/>
      <c r="Z228" s="12"/>
    </row>
    <row r="229" spans="1:26" ht="28.2" thickBot="1" x14ac:dyDescent="0.35">
      <c r="A229" s="15">
        <v>44512</v>
      </c>
      <c r="B229" s="16" t="s">
        <v>270</v>
      </c>
      <c r="C229" s="16" t="s">
        <v>271</v>
      </c>
      <c r="D229" s="16" t="s">
        <v>265</v>
      </c>
      <c r="E229" s="16" t="s">
        <v>266</v>
      </c>
      <c r="F229" s="17">
        <v>137</v>
      </c>
      <c r="G229" s="17">
        <v>1.77</v>
      </c>
      <c r="H229" s="17">
        <v>242</v>
      </c>
      <c r="I229" s="18" t="b">
        <f t="shared" si="6"/>
        <v>0</v>
      </c>
      <c r="J229" s="18" t="b">
        <f t="shared" si="7"/>
        <v>0</v>
      </c>
      <c r="K229" s="12"/>
      <c r="L229" s="12"/>
      <c r="M229" s="18" t="b">
        <v>0</v>
      </c>
      <c r="N229" s="18" t="b">
        <v>0</v>
      </c>
      <c r="O229" s="12"/>
      <c r="P229" s="12"/>
      <c r="Q229" s="12"/>
      <c r="R229" s="12"/>
      <c r="S229" s="12"/>
      <c r="T229" s="12"/>
      <c r="U229" s="12"/>
      <c r="V229" s="12"/>
      <c r="W229" s="12"/>
      <c r="X229" s="12"/>
      <c r="Y229" s="12"/>
      <c r="Z229" s="12"/>
    </row>
    <row r="230" spans="1:26" ht="28.2" thickBot="1" x14ac:dyDescent="0.35">
      <c r="A230" s="15">
        <v>44515</v>
      </c>
      <c r="B230" s="16" t="s">
        <v>263</v>
      </c>
      <c r="C230" s="16" t="s">
        <v>274</v>
      </c>
      <c r="D230" s="16" t="s">
        <v>272</v>
      </c>
      <c r="E230" s="16" t="s">
        <v>276</v>
      </c>
      <c r="F230" s="17">
        <v>146</v>
      </c>
      <c r="G230" s="17">
        <v>2.1800000000000002</v>
      </c>
      <c r="H230" s="17">
        <v>318</v>
      </c>
      <c r="I230" s="18" t="b">
        <f t="shared" si="6"/>
        <v>0</v>
      </c>
      <c r="J230" s="18" t="b">
        <f t="shared" si="7"/>
        <v>0</v>
      </c>
      <c r="K230" s="12"/>
      <c r="L230" s="12"/>
      <c r="M230" s="18" t="b">
        <v>0</v>
      </c>
      <c r="N230" s="18" t="b">
        <v>0</v>
      </c>
      <c r="O230" s="12"/>
      <c r="P230" s="12"/>
      <c r="Q230" s="12"/>
      <c r="R230" s="12"/>
      <c r="S230" s="12"/>
      <c r="T230" s="12"/>
      <c r="U230" s="12"/>
      <c r="V230" s="12"/>
      <c r="W230" s="12"/>
      <c r="X230" s="12"/>
      <c r="Y230" s="12"/>
      <c r="Z230" s="12"/>
    </row>
    <row r="231" spans="1:26" ht="28.2" thickBot="1" x14ac:dyDescent="0.35">
      <c r="A231" s="15">
        <v>44518</v>
      </c>
      <c r="B231" s="16" t="s">
        <v>263</v>
      </c>
      <c r="C231" s="16" t="s">
        <v>274</v>
      </c>
      <c r="D231" s="16" t="s">
        <v>272</v>
      </c>
      <c r="E231" s="16" t="s">
        <v>273</v>
      </c>
      <c r="F231" s="17">
        <v>34</v>
      </c>
      <c r="G231" s="17">
        <v>1.87</v>
      </c>
      <c r="H231" s="17">
        <v>64</v>
      </c>
      <c r="I231" s="18" t="b">
        <f t="shared" si="6"/>
        <v>1</v>
      </c>
      <c r="J231" s="18" t="b">
        <f t="shared" si="7"/>
        <v>0</v>
      </c>
      <c r="K231" s="12"/>
      <c r="L231" s="12"/>
      <c r="M231" s="18" t="b">
        <v>1</v>
      </c>
      <c r="N231" s="18" t="b">
        <v>0</v>
      </c>
      <c r="O231" s="12"/>
      <c r="P231" s="12"/>
      <c r="Q231" s="12"/>
      <c r="R231" s="12"/>
      <c r="S231" s="12"/>
      <c r="T231" s="12"/>
      <c r="U231" s="12"/>
      <c r="V231" s="12"/>
      <c r="W231" s="12"/>
      <c r="X231" s="12"/>
      <c r="Y231" s="12"/>
      <c r="Z231" s="12"/>
    </row>
    <row r="232" spans="1:26" ht="15" thickBot="1" x14ac:dyDescent="0.35">
      <c r="A232" s="15">
        <v>44521</v>
      </c>
      <c r="B232" s="16" t="s">
        <v>270</v>
      </c>
      <c r="C232" s="16" t="s">
        <v>282</v>
      </c>
      <c r="D232" s="16" t="s">
        <v>265</v>
      </c>
      <c r="E232" s="16" t="s">
        <v>266</v>
      </c>
      <c r="F232" s="17">
        <v>20</v>
      </c>
      <c r="G232" s="17">
        <v>1.77</v>
      </c>
      <c r="H232" s="17">
        <v>35</v>
      </c>
      <c r="I232" s="18" t="b">
        <f t="shared" si="6"/>
        <v>0</v>
      </c>
      <c r="J232" s="18" t="b">
        <f t="shared" si="7"/>
        <v>0</v>
      </c>
      <c r="K232" s="12"/>
      <c r="L232" s="12"/>
      <c r="M232" s="18" t="b">
        <v>0</v>
      </c>
      <c r="N232" s="18" t="b">
        <v>0</v>
      </c>
      <c r="O232" s="12"/>
      <c r="P232" s="12"/>
      <c r="Q232" s="12"/>
      <c r="R232" s="12"/>
      <c r="S232" s="12"/>
      <c r="T232" s="12"/>
      <c r="U232" s="12"/>
      <c r="V232" s="12"/>
      <c r="W232" s="12"/>
      <c r="X232" s="12"/>
      <c r="Y232" s="12"/>
      <c r="Z232" s="12"/>
    </row>
    <row r="233" spans="1:26" ht="28.2" thickBot="1" x14ac:dyDescent="0.35">
      <c r="A233" s="15">
        <v>44524</v>
      </c>
      <c r="B233" s="16" t="s">
        <v>263</v>
      </c>
      <c r="C233" s="16" t="s">
        <v>264</v>
      </c>
      <c r="D233" s="16" t="s">
        <v>272</v>
      </c>
      <c r="E233" s="16" t="s">
        <v>276</v>
      </c>
      <c r="F233" s="17">
        <v>139</v>
      </c>
      <c r="G233" s="17">
        <v>2.1800000000000002</v>
      </c>
      <c r="H233" s="17">
        <v>303</v>
      </c>
      <c r="I233" s="18" t="b">
        <f t="shared" si="6"/>
        <v>1</v>
      </c>
      <c r="J233" s="18" t="b">
        <f t="shared" si="7"/>
        <v>0</v>
      </c>
      <c r="K233" s="12"/>
      <c r="L233" s="12"/>
      <c r="M233" s="18" t="b">
        <v>1</v>
      </c>
      <c r="N233" s="18" t="b">
        <v>0</v>
      </c>
      <c r="O233" s="12"/>
      <c r="P233" s="12"/>
      <c r="Q233" s="12"/>
      <c r="R233" s="12"/>
      <c r="S233" s="12"/>
      <c r="T233" s="12"/>
      <c r="U233" s="12"/>
      <c r="V233" s="12"/>
      <c r="W233" s="12"/>
      <c r="X233" s="12"/>
      <c r="Y233" s="12"/>
      <c r="Z233" s="12"/>
    </row>
    <row r="234" spans="1:26" ht="28.2" thickBot="1" x14ac:dyDescent="0.35">
      <c r="A234" s="15">
        <v>44527</v>
      </c>
      <c r="B234" s="16" t="s">
        <v>263</v>
      </c>
      <c r="C234" s="16" t="s">
        <v>264</v>
      </c>
      <c r="D234" s="16" t="s">
        <v>272</v>
      </c>
      <c r="E234" s="16" t="s">
        <v>273</v>
      </c>
      <c r="F234" s="17">
        <v>211</v>
      </c>
      <c r="G234" s="17">
        <v>1.87</v>
      </c>
      <c r="H234" s="17">
        <v>395</v>
      </c>
      <c r="I234" s="18" t="b">
        <f t="shared" si="6"/>
        <v>1</v>
      </c>
      <c r="J234" s="18" t="b">
        <f t="shared" si="7"/>
        <v>0</v>
      </c>
      <c r="K234" s="12"/>
      <c r="L234" s="12"/>
      <c r="M234" s="18" t="b">
        <v>1</v>
      </c>
      <c r="N234" s="18" t="b">
        <v>0</v>
      </c>
      <c r="O234" s="12"/>
      <c r="P234" s="12"/>
      <c r="Q234" s="12"/>
      <c r="R234" s="12"/>
      <c r="S234" s="12"/>
      <c r="T234" s="12"/>
      <c r="U234" s="12"/>
      <c r="V234" s="12"/>
      <c r="W234" s="12"/>
      <c r="X234" s="12"/>
      <c r="Y234" s="12"/>
      <c r="Z234" s="12"/>
    </row>
    <row r="235" spans="1:26" ht="28.2" thickBot="1" x14ac:dyDescent="0.35">
      <c r="A235" s="15">
        <v>44530</v>
      </c>
      <c r="B235" s="16" t="s">
        <v>263</v>
      </c>
      <c r="C235" s="16" t="s">
        <v>264</v>
      </c>
      <c r="D235" s="16" t="s">
        <v>268</v>
      </c>
      <c r="E235" s="16" t="s">
        <v>269</v>
      </c>
      <c r="F235" s="17">
        <v>20</v>
      </c>
      <c r="G235" s="17">
        <v>3.49</v>
      </c>
      <c r="H235" s="17">
        <v>70</v>
      </c>
      <c r="I235" s="18" t="b">
        <f t="shared" si="6"/>
        <v>1</v>
      </c>
      <c r="J235" s="18" t="b">
        <f t="shared" si="7"/>
        <v>0</v>
      </c>
      <c r="K235" s="12"/>
      <c r="L235" s="12"/>
      <c r="M235" s="18" t="b">
        <v>1</v>
      </c>
      <c r="N235" s="18" t="b">
        <v>0</v>
      </c>
      <c r="O235" s="12"/>
      <c r="P235" s="12"/>
      <c r="Q235" s="12"/>
      <c r="R235" s="12"/>
      <c r="S235" s="12"/>
      <c r="T235" s="12"/>
      <c r="U235" s="12"/>
      <c r="V235" s="12"/>
      <c r="W235" s="12"/>
      <c r="X235" s="12"/>
      <c r="Y235" s="12"/>
      <c r="Z235" s="12"/>
    </row>
    <row r="236" spans="1:26" ht="28.2" thickBot="1" x14ac:dyDescent="0.35">
      <c r="A236" s="15">
        <v>44533</v>
      </c>
      <c r="B236" s="16" t="s">
        <v>270</v>
      </c>
      <c r="C236" s="16" t="s">
        <v>271</v>
      </c>
      <c r="D236" s="16" t="s">
        <v>265</v>
      </c>
      <c r="E236" s="16" t="s">
        <v>281</v>
      </c>
      <c r="F236" s="17">
        <v>42</v>
      </c>
      <c r="G236" s="17">
        <v>1.87</v>
      </c>
      <c r="H236" s="17">
        <v>79</v>
      </c>
      <c r="I236" s="18" t="b">
        <f t="shared" si="6"/>
        <v>0</v>
      </c>
      <c r="J236" s="18" t="b">
        <f t="shared" si="7"/>
        <v>0</v>
      </c>
      <c r="K236" s="12"/>
      <c r="L236" s="12"/>
      <c r="M236" s="18" t="b">
        <v>0</v>
      </c>
      <c r="N236" s="18" t="b">
        <v>0</v>
      </c>
      <c r="O236" s="12"/>
      <c r="P236" s="12"/>
      <c r="Q236" s="12"/>
      <c r="R236" s="12"/>
      <c r="S236" s="12"/>
      <c r="T236" s="12"/>
      <c r="U236" s="12"/>
      <c r="V236" s="12"/>
      <c r="W236" s="12"/>
      <c r="X236" s="12"/>
      <c r="Y236" s="12"/>
      <c r="Z236" s="12"/>
    </row>
    <row r="237" spans="1:26" ht="28.2" thickBot="1" x14ac:dyDescent="0.35">
      <c r="A237" s="15">
        <v>44536</v>
      </c>
      <c r="B237" s="16" t="s">
        <v>270</v>
      </c>
      <c r="C237" s="16" t="s">
        <v>271</v>
      </c>
      <c r="D237" s="16" t="s">
        <v>272</v>
      </c>
      <c r="E237" s="16" t="s">
        <v>280</v>
      </c>
      <c r="F237" s="17">
        <v>100</v>
      </c>
      <c r="G237" s="17">
        <v>2.84</v>
      </c>
      <c r="H237" s="17">
        <v>284</v>
      </c>
      <c r="I237" s="18" t="b">
        <f t="shared" si="6"/>
        <v>0</v>
      </c>
      <c r="J237" s="18" t="b">
        <f t="shared" si="7"/>
        <v>0</v>
      </c>
      <c r="K237" s="12"/>
      <c r="L237" s="12"/>
      <c r="M237" s="18" t="b">
        <v>0</v>
      </c>
      <c r="N237" s="18" t="b">
        <v>0</v>
      </c>
      <c r="O237" s="12"/>
      <c r="P237" s="12"/>
      <c r="Q237" s="12"/>
      <c r="R237" s="12"/>
      <c r="S237" s="12"/>
      <c r="T237" s="12"/>
      <c r="U237" s="12"/>
      <c r="V237" s="12"/>
      <c r="W237" s="12"/>
      <c r="X237" s="12"/>
      <c r="Y237" s="12"/>
      <c r="Z237" s="12"/>
    </row>
    <row r="238" spans="1:26" ht="15" thickBot="1" x14ac:dyDescent="0.35">
      <c r="A238" s="15">
        <v>44539</v>
      </c>
      <c r="B238" s="16" t="s">
        <v>263</v>
      </c>
      <c r="C238" s="16" t="s">
        <v>274</v>
      </c>
      <c r="D238" s="16" t="s">
        <v>265</v>
      </c>
      <c r="E238" s="16" t="s">
        <v>266</v>
      </c>
      <c r="F238" s="17">
        <v>38</v>
      </c>
      <c r="G238" s="17">
        <v>1.77</v>
      </c>
      <c r="H238" s="17">
        <v>67</v>
      </c>
      <c r="I238" s="18" t="b">
        <f t="shared" si="6"/>
        <v>0</v>
      </c>
      <c r="J238" s="18" t="b">
        <f t="shared" si="7"/>
        <v>0</v>
      </c>
      <c r="K238" s="12"/>
      <c r="L238" s="12"/>
      <c r="M238" s="18" t="b">
        <v>0</v>
      </c>
      <c r="N238" s="18" t="b">
        <v>0</v>
      </c>
      <c r="O238" s="12"/>
      <c r="P238" s="12"/>
      <c r="Q238" s="12"/>
      <c r="R238" s="12"/>
      <c r="S238" s="12"/>
      <c r="T238" s="12"/>
      <c r="U238" s="12"/>
      <c r="V238" s="12"/>
      <c r="W238" s="12"/>
      <c r="X238" s="12"/>
      <c r="Y238" s="12"/>
      <c r="Z238" s="12"/>
    </row>
    <row r="239" spans="1:26" ht="28.2" thickBot="1" x14ac:dyDescent="0.35">
      <c r="A239" s="15">
        <v>44542</v>
      </c>
      <c r="B239" s="16" t="s">
        <v>263</v>
      </c>
      <c r="C239" s="16" t="s">
        <v>274</v>
      </c>
      <c r="D239" s="16" t="s">
        <v>268</v>
      </c>
      <c r="E239" s="16" t="s">
        <v>269</v>
      </c>
      <c r="F239" s="17">
        <v>25</v>
      </c>
      <c r="G239" s="17">
        <v>3.49</v>
      </c>
      <c r="H239" s="17">
        <v>87</v>
      </c>
      <c r="I239" s="18" t="b">
        <f t="shared" si="6"/>
        <v>0</v>
      </c>
      <c r="J239" s="18" t="b">
        <f t="shared" si="7"/>
        <v>0</v>
      </c>
      <c r="K239" s="12"/>
      <c r="L239" s="12"/>
      <c r="M239" s="18" t="b">
        <v>0</v>
      </c>
      <c r="N239" s="18" t="b">
        <v>0</v>
      </c>
      <c r="O239" s="12"/>
      <c r="P239" s="12"/>
      <c r="Q239" s="12"/>
      <c r="R239" s="12"/>
      <c r="S239" s="12"/>
      <c r="T239" s="12"/>
      <c r="U239" s="12"/>
      <c r="V239" s="12"/>
      <c r="W239" s="12"/>
      <c r="X239" s="12"/>
      <c r="Y239" s="12"/>
      <c r="Z239" s="12"/>
    </row>
    <row r="240" spans="1:26" ht="28.2" thickBot="1" x14ac:dyDescent="0.35">
      <c r="A240" s="15">
        <v>44545</v>
      </c>
      <c r="B240" s="16" t="s">
        <v>270</v>
      </c>
      <c r="C240" s="16" t="s">
        <v>282</v>
      </c>
      <c r="D240" s="16" t="s">
        <v>272</v>
      </c>
      <c r="E240" s="16" t="s">
        <v>273</v>
      </c>
      <c r="F240" s="17">
        <v>96</v>
      </c>
      <c r="G240" s="17">
        <v>1.87</v>
      </c>
      <c r="H240" s="17">
        <v>180</v>
      </c>
      <c r="I240" s="18" t="b">
        <f t="shared" si="6"/>
        <v>1</v>
      </c>
      <c r="J240" s="18" t="b">
        <f t="shared" si="7"/>
        <v>1</v>
      </c>
      <c r="K240" s="12"/>
      <c r="L240" s="12"/>
      <c r="M240" s="18" t="b">
        <v>1</v>
      </c>
      <c r="N240" s="18" t="b">
        <v>1</v>
      </c>
      <c r="O240" s="12"/>
      <c r="P240" s="12"/>
      <c r="Q240" s="12"/>
      <c r="R240" s="12"/>
      <c r="S240" s="12"/>
      <c r="T240" s="12"/>
      <c r="U240" s="12"/>
      <c r="V240" s="12"/>
      <c r="W240" s="12"/>
      <c r="X240" s="12"/>
      <c r="Y240" s="12"/>
      <c r="Z240" s="12"/>
    </row>
    <row r="241" spans="1:26" ht="28.2" thickBot="1" x14ac:dyDescent="0.35">
      <c r="A241" s="15">
        <v>44548</v>
      </c>
      <c r="B241" s="16" t="s">
        <v>263</v>
      </c>
      <c r="C241" s="16" t="s">
        <v>264</v>
      </c>
      <c r="D241" s="16" t="s">
        <v>272</v>
      </c>
      <c r="E241" s="16" t="s">
        <v>276</v>
      </c>
      <c r="F241" s="17">
        <v>34</v>
      </c>
      <c r="G241" s="17">
        <v>2.1800000000000002</v>
      </c>
      <c r="H241" s="17">
        <v>74</v>
      </c>
      <c r="I241" s="18" t="b">
        <f t="shared" si="6"/>
        <v>1</v>
      </c>
      <c r="J241" s="18" t="b">
        <f t="shared" si="7"/>
        <v>0</v>
      </c>
      <c r="K241" s="12"/>
      <c r="L241" s="12"/>
      <c r="M241" s="18" t="b">
        <v>1</v>
      </c>
      <c r="N241" s="18" t="b">
        <v>0</v>
      </c>
      <c r="O241" s="12"/>
      <c r="P241" s="12"/>
      <c r="Q241" s="12"/>
      <c r="R241" s="12"/>
      <c r="S241" s="12"/>
      <c r="T241" s="12"/>
      <c r="U241" s="12"/>
      <c r="V241" s="12"/>
      <c r="W241" s="12"/>
      <c r="X241" s="12"/>
      <c r="Y241" s="12"/>
      <c r="Z241" s="12"/>
    </row>
    <row r="242" spans="1:26" ht="28.2" thickBot="1" x14ac:dyDescent="0.35">
      <c r="A242" s="15">
        <v>44551</v>
      </c>
      <c r="B242" s="16" t="s">
        <v>263</v>
      </c>
      <c r="C242" s="16" t="s">
        <v>264</v>
      </c>
      <c r="D242" s="16" t="s">
        <v>272</v>
      </c>
      <c r="E242" s="16" t="s">
        <v>273</v>
      </c>
      <c r="F242" s="17">
        <v>245</v>
      </c>
      <c r="G242" s="17">
        <v>1.87</v>
      </c>
      <c r="H242" s="17">
        <v>458</v>
      </c>
      <c r="I242" s="18" t="b">
        <f t="shared" si="6"/>
        <v>1</v>
      </c>
      <c r="J242" s="18" t="b">
        <f t="shared" si="7"/>
        <v>0</v>
      </c>
      <c r="K242" s="12"/>
      <c r="L242" s="12"/>
      <c r="M242" s="18" t="b">
        <v>1</v>
      </c>
      <c r="N242" s="18" t="b">
        <v>0</v>
      </c>
      <c r="O242" s="12"/>
      <c r="P242" s="12"/>
      <c r="Q242" s="12"/>
      <c r="R242" s="12"/>
      <c r="S242" s="12"/>
      <c r="T242" s="12"/>
      <c r="U242" s="12"/>
      <c r="V242" s="12"/>
      <c r="W242" s="12"/>
      <c r="X242" s="12"/>
      <c r="Y242" s="12"/>
      <c r="Z242" s="12"/>
    </row>
    <row r="243" spans="1:26" ht="28.2" thickBot="1" x14ac:dyDescent="0.35">
      <c r="A243" s="15">
        <v>44554</v>
      </c>
      <c r="B243" s="16" t="s">
        <v>263</v>
      </c>
      <c r="C243" s="16" t="s">
        <v>264</v>
      </c>
      <c r="D243" s="16" t="s">
        <v>268</v>
      </c>
      <c r="E243" s="16" t="s">
        <v>269</v>
      </c>
      <c r="F243" s="17">
        <v>30</v>
      </c>
      <c r="G243" s="17">
        <v>3.49</v>
      </c>
      <c r="H243" s="17">
        <v>105</v>
      </c>
      <c r="I243" s="18" t="b">
        <f t="shared" si="6"/>
        <v>1</v>
      </c>
      <c r="J243" s="18" t="b">
        <f t="shared" si="7"/>
        <v>0</v>
      </c>
      <c r="K243" s="12"/>
      <c r="L243" s="12"/>
      <c r="M243" s="18" t="b">
        <v>1</v>
      </c>
      <c r="N243" s="18" t="b">
        <v>0</v>
      </c>
      <c r="O243" s="12"/>
      <c r="P243" s="12"/>
      <c r="Q243" s="12"/>
      <c r="R243" s="12"/>
      <c r="S243" s="12"/>
      <c r="T243" s="12"/>
      <c r="U243" s="12"/>
      <c r="V243" s="12"/>
      <c r="W243" s="12"/>
      <c r="X243" s="12"/>
      <c r="Y243" s="12"/>
      <c r="Z243" s="12"/>
    </row>
    <row r="244" spans="1:26" ht="28.2" thickBot="1" x14ac:dyDescent="0.35">
      <c r="A244" s="15">
        <v>44557</v>
      </c>
      <c r="B244" s="16" t="s">
        <v>270</v>
      </c>
      <c r="C244" s="16" t="s">
        <v>271</v>
      </c>
      <c r="D244" s="16" t="s">
        <v>265</v>
      </c>
      <c r="E244" s="16" t="s">
        <v>281</v>
      </c>
      <c r="F244" s="17">
        <v>30</v>
      </c>
      <c r="G244" s="17">
        <v>1.87</v>
      </c>
      <c r="H244" s="17">
        <v>56</v>
      </c>
      <c r="I244" s="18" t="b">
        <f t="shared" si="6"/>
        <v>0</v>
      </c>
      <c r="J244" s="18" t="b">
        <f t="shared" si="7"/>
        <v>0</v>
      </c>
      <c r="K244" s="12"/>
      <c r="L244" s="12"/>
      <c r="M244" s="18" t="b">
        <v>0</v>
      </c>
      <c r="N244" s="18" t="b">
        <v>0</v>
      </c>
      <c r="O244" s="12"/>
      <c r="P244" s="12"/>
      <c r="Q244" s="12"/>
      <c r="R244" s="12"/>
      <c r="S244" s="12"/>
      <c r="T244" s="12"/>
      <c r="U244" s="12"/>
      <c r="V244" s="12"/>
      <c r="W244" s="12"/>
      <c r="X244" s="12"/>
      <c r="Y244" s="12"/>
      <c r="Z244" s="12"/>
    </row>
    <row r="245" spans="1:26" ht="28.2" thickBot="1" x14ac:dyDescent="0.35">
      <c r="A245" s="15">
        <v>44560</v>
      </c>
      <c r="B245" s="16" t="s">
        <v>270</v>
      </c>
      <c r="C245" s="16" t="s">
        <v>271</v>
      </c>
      <c r="D245" s="16" t="s">
        <v>272</v>
      </c>
      <c r="E245" s="16" t="s">
        <v>280</v>
      </c>
      <c r="F245" s="17">
        <v>44</v>
      </c>
      <c r="G245" s="17">
        <v>2.84</v>
      </c>
      <c r="H245" s="17">
        <v>125</v>
      </c>
      <c r="I245" s="18" t="b">
        <f t="shared" si="6"/>
        <v>0</v>
      </c>
      <c r="J245" s="18" t="b">
        <f t="shared" si="7"/>
        <v>0</v>
      </c>
      <c r="K245" s="12"/>
      <c r="L245" s="12"/>
      <c r="M245" s="18" t="b">
        <v>0</v>
      </c>
      <c r="N245" s="18" t="b">
        <v>0</v>
      </c>
      <c r="O245" s="12"/>
      <c r="P245" s="12"/>
      <c r="Q245" s="12"/>
      <c r="R245" s="12"/>
      <c r="S245" s="12"/>
      <c r="T245" s="12"/>
      <c r="U245" s="12"/>
      <c r="V245" s="12"/>
      <c r="W245" s="12"/>
      <c r="X245" s="12"/>
      <c r="Y245" s="12"/>
      <c r="Z245" s="12"/>
    </row>
    <row r="246" spans="1:26" ht="15" thickBot="1" x14ac:dyDescent="0.3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 thickBot="1" x14ac:dyDescent="0.3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 thickBot="1" x14ac:dyDescent="0.3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 thickBot="1" x14ac:dyDescent="0.3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 thickBot="1" x14ac:dyDescent="0.3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 thickBot="1" x14ac:dyDescent="0.3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 thickBot="1" x14ac:dyDescent="0.3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 thickBot="1" x14ac:dyDescent="0.3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 thickBot="1" x14ac:dyDescent="0.3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 thickBot="1" x14ac:dyDescent="0.3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 thickBot="1" x14ac:dyDescent="0.3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 thickBot="1" x14ac:dyDescent="0.3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 thickBot="1" x14ac:dyDescent="0.3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 thickBot="1" x14ac:dyDescent="0.3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 thickBot="1" x14ac:dyDescent="0.3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 thickBot="1" x14ac:dyDescent="0.3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 thickBot="1" x14ac:dyDescent="0.3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 thickBot="1" x14ac:dyDescent="0.3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 thickBot="1" x14ac:dyDescent="0.3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 thickBot="1" x14ac:dyDescent="0.3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 thickBot="1" x14ac:dyDescent="0.3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 thickBot="1" x14ac:dyDescent="0.3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 thickBot="1" x14ac:dyDescent="0.3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 thickBot="1" x14ac:dyDescent="0.3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 thickBot="1" x14ac:dyDescent="0.3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 thickBot="1" x14ac:dyDescent="0.3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 thickBot="1" x14ac:dyDescent="0.3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 thickBot="1" x14ac:dyDescent="0.3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 thickBot="1" x14ac:dyDescent="0.3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 thickBot="1" x14ac:dyDescent="0.3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 thickBot="1" x14ac:dyDescent="0.3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 thickBot="1" x14ac:dyDescent="0.3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 thickBot="1" x14ac:dyDescent="0.3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 thickBot="1" x14ac:dyDescent="0.3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 thickBot="1" x14ac:dyDescent="0.3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 thickBot="1" x14ac:dyDescent="0.3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 thickBot="1" x14ac:dyDescent="0.3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 thickBot="1" x14ac:dyDescent="0.3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 thickBot="1" x14ac:dyDescent="0.3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 thickBot="1" x14ac:dyDescent="0.3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 thickBot="1" x14ac:dyDescent="0.3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 thickBot="1" x14ac:dyDescent="0.3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 thickBot="1" x14ac:dyDescent="0.3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 thickBot="1" x14ac:dyDescent="0.3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 thickBot="1" x14ac:dyDescent="0.3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 thickBot="1" x14ac:dyDescent="0.3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 thickBot="1" x14ac:dyDescent="0.3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 thickBot="1" x14ac:dyDescent="0.3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 thickBot="1" x14ac:dyDescent="0.3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 thickBot="1" x14ac:dyDescent="0.3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 thickBot="1" x14ac:dyDescent="0.3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 thickBot="1" x14ac:dyDescent="0.3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 thickBot="1" x14ac:dyDescent="0.3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 thickBot="1" x14ac:dyDescent="0.3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 thickBot="1" x14ac:dyDescent="0.3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 thickBot="1" x14ac:dyDescent="0.3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 thickBot="1" x14ac:dyDescent="0.3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 thickBot="1" x14ac:dyDescent="0.3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 thickBot="1" x14ac:dyDescent="0.3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 thickBot="1" x14ac:dyDescent="0.3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 thickBot="1" x14ac:dyDescent="0.3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 thickBot="1" x14ac:dyDescent="0.3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 thickBot="1" x14ac:dyDescent="0.3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 thickBot="1" x14ac:dyDescent="0.3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 thickBot="1" x14ac:dyDescent="0.3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 thickBot="1" x14ac:dyDescent="0.3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 thickBot="1" x14ac:dyDescent="0.3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 thickBot="1" x14ac:dyDescent="0.3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 thickBot="1" x14ac:dyDescent="0.3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 thickBot="1" x14ac:dyDescent="0.3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 thickBot="1" x14ac:dyDescent="0.3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 thickBot="1" x14ac:dyDescent="0.3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 thickBot="1" x14ac:dyDescent="0.3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 thickBot="1" x14ac:dyDescent="0.3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 thickBot="1" x14ac:dyDescent="0.3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 thickBot="1" x14ac:dyDescent="0.3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 thickBot="1" x14ac:dyDescent="0.3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 thickBot="1" x14ac:dyDescent="0.3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 thickBot="1" x14ac:dyDescent="0.3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 thickBot="1" x14ac:dyDescent="0.3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 thickBot="1" x14ac:dyDescent="0.3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 thickBot="1" x14ac:dyDescent="0.3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 thickBot="1" x14ac:dyDescent="0.3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 thickBot="1" x14ac:dyDescent="0.3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 thickBot="1" x14ac:dyDescent="0.3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 thickBot="1" x14ac:dyDescent="0.3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 thickBot="1" x14ac:dyDescent="0.3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 thickBot="1" x14ac:dyDescent="0.3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 thickBot="1" x14ac:dyDescent="0.3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 thickBot="1" x14ac:dyDescent="0.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 thickBot="1" x14ac:dyDescent="0.3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 thickBot="1" x14ac:dyDescent="0.3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 thickBot="1" x14ac:dyDescent="0.3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 thickBot="1" x14ac:dyDescent="0.3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 thickBot="1" x14ac:dyDescent="0.3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 thickBot="1" x14ac:dyDescent="0.3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 thickBot="1" x14ac:dyDescent="0.3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 thickBot="1" x14ac:dyDescent="0.3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 thickBot="1" x14ac:dyDescent="0.3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 thickBot="1" x14ac:dyDescent="0.3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 thickBot="1" x14ac:dyDescent="0.3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 thickBot="1" x14ac:dyDescent="0.3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 thickBot="1" x14ac:dyDescent="0.3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 thickBot="1" x14ac:dyDescent="0.3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 thickBot="1" x14ac:dyDescent="0.3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 thickBot="1" x14ac:dyDescent="0.3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 thickBot="1" x14ac:dyDescent="0.3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 thickBot="1" x14ac:dyDescent="0.3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 thickBot="1" x14ac:dyDescent="0.3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 thickBot="1" x14ac:dyDescent="0.3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 thickBot="1" x14ac:dyDescent="0.3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 thickBot="1" x14ac:dyDescent="0.3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 thickBot="1" x14ac:dyDescent="0.3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 thickBot="1" x14ac:dyDescent="0.3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 thickBot="1" x14ac:dyDescent="0.3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 thickBot="1" x14ac:dyDescent="0.3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 thickBot="1" x14ac:dyDescent="0.3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 thickBot="1" x14ac:dyDescent="0.3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 thickBot="1" x14ac:dyDescent="0.3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 thickBot="1" x14ac:dyDescent="0.3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 thickBot="1" x14ac:dyDescent="0.3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 thickBot="1" x14ac:dyDescent="0.3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 thickBot="1" x14ac:dyDescent="0.3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 thickBot="1" x14ac:dyDescent="0.3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 thickBot="1" x14ac:dyDescent="0.3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 thickBot="1" x14ac:dyDescent="0.3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 thickBot="1" x14ac:dyDescent="0.3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 thickBot="1" x14ac:dyDescent="0.3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 thickBot="1" x14ac:dyDescent="0.3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 thickBot="1" x14ac:dyDescent="0.3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 thickBot="1" x14ac:dyDescent="0.3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 thickBot="1" x14ac:dyDescent="0.3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 thickBot="1" x14ac:dyDescent="0.3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 thickBot="1" x14ac:dyDescent="0.3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 thickBot="1" x14ac:dyDescent="0.3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 thickBot="1" x14ac:dyDescent="0.3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 thickBot="1" x14ac:dyDescent="0.3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 thickBot="1" x14ac:dyDescent="0.3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 thickBot="1" x14ac:dyDescent="0.3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 thickBot="1" x14ac:dyDescent="0.3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 thickBot="1" x14ac:dyDescent="0.3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 thickBot="1" x14ac:dyDescent="0.3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 thickBot="1" x14ac:dyDescent="0.3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 thickBot="1" x14ac:dyDescent="0.3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 thickBot="1" x14ac:dyDescent="0.3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 thickBot="1" x14ac:dyDescent="0.3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 thickBot="1" x14ac:dyDescent="0.3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 thickBot="1" x14ac:dyDescent="0.3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 thickBot="1" x14ac:dyDescent="0.3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 thickBot="1" x14ac:dyDescent="0.3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 thickBot="1" x14ac:dyDescent="0.3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 thickBot="1" x14ac:dyDescent="0.3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 thickBot="1" x14ac:dyDescent="0.3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 thickBot="1" x14ac:dyDescent="0.3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 thickBot="1" x14ac:dyDescent="0.3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 thickBot="1" x14ac:dyDescent="0.3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 thickBot="1" x14ac:dyDescent="0.3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 thickBot="1" x14ac:dyDescent="0.3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 thickBot="1" x14ac:dyDescent="0.3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 thickBot="1" x14ac:dyDescent="0.3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 thickBot="1" x14ac:dyDescent="0.3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 thickBot="1" x14ac:dyDescent="0.3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 thickBot="1" x14ac:dyDescent="0.3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 thickBot="1" x14ac:dyDescent="0.3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 thickBot="1" x14ac:dyDescent="0.3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 thickBot="1" x14ac:dyDescent="0.3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 thickBot="1" x14ac:dyDescent="0.3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 thickBot="1" x14ac:dyDescent="0.3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 thickBot="1" x14ac:dyDescent="0.3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 thickBot="1" x14ac:dyDescent="0.3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 thickBot="1" x14ac:dyDescent="0.3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 thickBot="1" x14ac:dyDescent="0.3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 thickBot="1" x14ac:dyDescent="0.3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 thickBot="1" x14ac:dyDescent="0.3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 thickBot="1" x14ac:dyDescent="0.3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 thickBot="1" x14ac:dyDescent="0.3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 thickBot="1" x14ac:dyDescent="0.3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 thickBot="1" x14ac:dyDescent="0.3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 thickBot="1" x14ac:dyDescent="0.3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 thickBot="1" x14ac:dyDescent="0.3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 thickBot="1" x14ac:dyDescent="0.3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 thickBot="1" x14ac:dyDescent="0.3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 thickBot="1" x14ac:dyDescent="0.3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 thickBot="1" x14ac:dyDescent="0.3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 thickBot="1" x14ac:dyDescent="0.3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 thickBot="1" x14ac:dyDescent="0.3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 thickBot="1" x14ac:dyDescent="0.3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 thickBot="1" x14ac:dyDescent="0.3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 thickBot="1" x14ac:dyDescent="0.3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 thickBot="1" x14ac:dyDescent="0.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 thickBot="1" x14ac:dyDescent="0.3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 thickBot="1" x14ac:dyDescent="0.3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 thickBot="1" x14ac:dyDescent="0.3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 thickBot="1" x14ac:dyDescent="0.3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 thickBot="1" x14ac:dyDescent="0.3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 thickBot="1" x14ac:dyDescent="0.3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 thickBot="1" x14ac:dyDescent="0.3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 thickBot="1" x14ac:dyDescent="0.3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 thickBot="1" x14ac:dyDescent="0.3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 thickBot="1" x14ac:dyDescent="0.3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 thickBot="1" x14ac:dyDescent="0.3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 thickBot="1" x14ac:dyDescent="0.3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 thickBot="1" x14ac:dyDescent="0.3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 thickBot="1" x14ac:dyDescent="0.3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 thickBot="1" x14ac:dyDescent="0.3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 thickBot="1" x14ac:dyDescent="0.3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 thickBot="1" x14ac:dyDescent="0.3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 thickBot="1" x14ac:dyDescent="0.3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 thickBot="1" x14ac:dyDescent="0.3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 thickBot="1" x14ac:dyDescent="0.3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 thickBot="1" x14ac:dyDescent="0.3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 thickBot="1" x14ac:dyDescent="0.3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 thickBot="1" x14ac:dyDescent="0.3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 thickBot="1" x14ac:dyDescent="0.3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 thickBot="1" x14ac:dyDescent="0.3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 thickBot="1" x14ac:dyDescent="0.3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 thickBot="1" x14ac:dyDescent="0.3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 thickBot="1" x14ac:dyDescent="0.3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 thickBot="1" x14ac:dyDescent="0.3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 thickBot="1" x14ac:dyDescent="0.3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 thickBot="1" x14ac:dyDescent="0.3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 thickBot="1" x14ac:dyDescent="0.3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 thickBot="1" x14ac:dyDescent="0.3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 thickBot="1" x14ac:dyDescent="0.3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 thickBot="1" x14ac:dyDescent="0.3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 thickBot="1" x14ac:dyDescent="0.3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 thickBot="1" x14ac:dyDescent="0.3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 thickBot="1" x14ac:dyDescent="0.3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 thickBot="1" x14ac:dyDescent="0.3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 thickBot="1" x14ac:dyDescent="0.3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 thickBot="1" x14ac:dyDescent="0.3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 thickBot="1" x14ac:dyDescent="0.3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 thickBot="1" x14ac:dyDescent="0.3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 thickBot="1" x14ac:dyDescent="0.3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 thickBot="1" x14ac:dyDescent="0.3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 thickBot="1" x14ac:dyDescent="0.3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 thickBot="1" x14ac:dyDescent="0.3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 thickBot="1" x14ac:dyDescent="0.3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 thickBot="1" x14ac:dyDescent="0.3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 thickBot="1" x14ac:dyDescent="0.3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 thickBot="1" x14ac:dyDescent="0.3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 thickBot="1" x14ac:dyDescent="0.3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 thickBot="1" x14ac:dyDescent="0.3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 thickBot="1" x14ac:dyDescent="0.3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 thickBot="1" x14ac:dyDescent="0.3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 thickBot="1" x14ac:dyDescent="0.3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 thickBot="1" x14ac:dyDescent="0.3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 thickBot="1" x14ac:dyDescent="0.3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 thickBot="1" x14ac:dyDescent="0.3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 thickBot="1" x14ac:dyDescent="0.3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 thickBot="1" x14ac:dyDescent="0.3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 thickBot="1" x14ac:dyDescent="0.3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 thickBot="1" x14ac:dyDescent="0.3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 thickBot="1" x14ac:dyDescent="0.3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 thickBot="1" x14ac:dyDescent="0.3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 thickBot="1" x14ac:dyDescent="0.3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 thickBot="1" x14ac:dyDescent="0.3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 thickBot="1" x14ac:dyDescent="0.3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 thickBot="1" x14ac:dyDescent="0.3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 thickBot="1" x14ac:dyDescent="0.3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 thickBot="1" x14ac:dyDescent="0.3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 thickBot="1" x14ac:dyDescent="0.3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 thickBot="1" x14ac:dyDescent="0.3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 thickBot="1" x14ac:dyDescent="0.3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 thickBot="1" x14ac:dyDescent="0.3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 thickBot="1" x14ac:dyDescent="0.3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 thickBot="1" x14ac:dyDescent="0.3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 thickBot="1" x14ac:dyDescent="0.3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 thickBot="1" x14ac:dyDescent="0.3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 thickBot="1" x14ac:dyDescent="0.3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 thickBot="1" x14ac:dyDescent="0.3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 thickBot="1" x14ac:dyDescent="0.3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 thickBot="1" x14ac:dyDescent="0.3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 thickBot="1" x14ac:dyDescent="0.3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 thickBot="1" x14ac:dyDescent="0.3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 thickBot="1" x14ac:dyDescent="0.3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 thickBot="1" x14ac:dyDescent="0.3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 thickBot="1" x14ac:dyDescent="0.3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 thickBot="1" x14ac:dyDescent="0.3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 thickBot="1" x14ac:dyDescent="0.3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 thickBot="1" x14ac:dyDescent="0.3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 thickBot="1" x14ac:dyDescent="0.3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 thickBot="1" x14ac:dyDescent="0.3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 thickBot="1" x14ac:dyDescent="0.3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 thickBot="1" x14ac:dyDescent="0.3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 thickBot="1" x14ac:dyDescent="0.3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 thickBot="1" x14ac:dyDescent="0.3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 thickBot="1" x14ac:dyDescent="0.3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 thickBot="1" x14ac:dyDescent="0.3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 thickBot="1" x14ac:dyDescent="0.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 thickBot="1" x14ac:dyDescent="0.3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 thickBot="1" x14ac:dyDescent="0.3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 thickBot="1" x14ac:dyDescent="0.3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 thickBot="1" x14ac:dyDescent="0.3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 thickBot="1" x14ac:dyDescent="0.3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 thickBot="1" x14ac:dyDescent="0.3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 thickBot="1" x14ac:dyDescent="0.3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 thickBot="1" x14ac:dyDescent="0.3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 thickBot="1" x14ac:dyDescent="0.3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 thickBot="1" x14ac:dyDescent="0.3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 thickBot="1" x14ac:dyDescent="0.3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 thickBot="1" x14ac:dyDescent="0.3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 thickBot="1" x14ac:dyDescent="0.3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 thickBot="1" x14ac:dyDescent="0.3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 thickBot="1" x14ac:dyDescent="0.3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 thickBot="1" x14ac:dyDescent="0.3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 thickBot="1" x14ac:dyDescent="0.3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 thickBot="1" x14ac:dyDescent="0.3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 thickBot="1" x14ac:dyDescent="0.3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 thickBot="1" x14ac:dyDescent="0.3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 thickBot="1" x14ac:dyDescent="0.3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 thickBot="1" x14ac:dyDescent="0.3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 thickBot="1" x14ac:dyDescent="0.3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 thickBot="1" x14ac:dyDescent="0.3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 thickBot="1" x14ac:dyDescent="0.3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 thickBot="1" x14ac:dyDescent="0.3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 thickBot="1" x14ac:dyDescent="0.3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 thickBot="1" x14ac:dyDescent="0.3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 thickBot="1" x14ac:dyDescent="0.3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 thickBot="1" x14ac:dyDescent="0.3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 thickBot="1" x14ac:dyDescent="0.3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 thickBot="1" x14ac:dyDescent="0.3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 thickBot="1" x14ac:dyDescent="0.3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 thickBot="1" x14ac:dyDescent="0.3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 thickBot="1" x14ac:dyDescent="0.3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 thickBot="1" x14ac:dyDescent="0.3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 thickBot="1" x14ac:dyDescent="0.3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 thickBot="1" x14ac:dyDescent="0.3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 thickBot="1" x14ac:dyDescent="0.3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 thickBot="1" x14ac:dyDescent="0.3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 thickBot="1" x14ac:dyDescent="0.3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 thickBot="1" x14ac:dyDescent="0.3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 thickBot="1" x14ac:dyDescent="0.3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 thickBot="1" x14ac:dyDescent="0.3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 thickBot="1" x14ac:dyDescent="0.3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 thickBot="1" x14ac:dyDescent="0.3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 thickBot="1" x14ac:dyDescent="0.3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 thickBot="1" x14ac:dyDescent="0.3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 thickBot="1" x14ac:dyDescent="0.3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 thickBot="1" x14ac:dyDescent="0.3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 thickBot="1" x14ac:dyDescent="0.3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 thickBot="1" x14ac:dyDescent="0.3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 thickBot="1" x14ac:dyDescent="0.3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 thickBot="1" x14ac:dyDescent="0.3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 thickBot="1" x14ac:dyDescent="0.3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 thickBot="1" x14ac:dyDescent="0.3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 thickBot="1" x14ac:dyDescent="0.3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 thickBot="1" x14ac:dyDescent="0.3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 thickBot="1" x14ac:dyDescent="0.3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 thickBot="1" x14ac:dyDescent="0.3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 thickBot="1" x14ac:dyDescent="0.3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 thickBot="1" x14ac:dyDescent="0.3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 thickBot="1" x14ac:dyDescent="0.3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 thickBot="1" x14ac:dyDescent="0.3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 thickBot="1" x14ac:dyDescent="0.3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 thickBot="1" x14ac:dyDescent="0.3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 thickBot="1" x14ac:dyDescent="0.3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 thickBot="1" x14ac:dyDescent="0.3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 thickBot="1" x14ac:dyDescent="0.3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 thickBot="1" x14ac:dyDescent="0.3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 thickBot="1" x14ac:dyDescent="0.3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 thickBot="1" x14ac:dyDescent="0.3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 thickBot="1" x14ac:dyDescent="0.3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 thickBot="1" x14ac:dyDescent="0.3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 thickBot="1" x14ac:dyDescent="0.3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 thickBot="1" x14ac:dyDescent="0.3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 thickBot="1" x14ac:dyDescent="0.3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 thickBot="1" x14ac:dyDescent="0.3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 thickBot="1" x14ac:dyDescent="0.3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 thickBot="1" x14ac:dyDescent="0.3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 thickBot="1" x14ac:dyDescent="0.3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 thickBot="1" x14ac:dyDescent="0.3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 thickBot="1" x14ac:dyDescent="0.3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 thickBot="1" x14ac:dyDescent="0.3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 thickBot="1" x14ac:dyDescent="0.3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 thickBot="1" x14ac:dyDescent="0.3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 thickBot="1" x14ac:dyDescent="0.3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 thickBot="1" x14ac:dyDescent="0.3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 thickBot="1" x14ac:dyDescent="0.3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 thickBot="1" x14ac:dyDescent="0.3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 thickBot="1" x14ac:dyDescent="0.3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 thickBot="1" x14ac:dyDescent="0.3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 thickBot="1" x14ac:dyDescent="0.3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 thickBot="1" x14ac:dyDescent="0.3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 thickBot="1" x14ac:dyDescent="0.3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 thickBot="1" x14ac:dyDescent="0.3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 thickBot="1" x14ac:dyDescent="0.3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 thickBot="1" x14ac:dyDescent="0.3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 thickBot="1" x14ac:dyDescent="0.3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 thickBot="1" x14ac:dyDescent="0.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 thickBot="1" x14ac:dyDescent="0.3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 thickBot="1" x14ac:dyDescent="0.3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 thickBot="1" x14ac:dyDescent="0.3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 thickBot="1" x14ac:dyDescent="0.3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 thickBot="1" x14ac:dyDescent="0.3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 thickBot="1" x14ac:dyDescent="0.3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 thickBot="1" x14ac:dyDescent="0.3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 thickBot="1" x14ac:dyDescent="0.3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 thickBot="1" x14ac:dyDescent="0.3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 thickBot="1" x14ac:dyDescent="0.3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 thickBot="1" x14ac:dyDescent="0.3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 thickBot="1" x14ac:dyDescent="0.3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 thickBot="1" x14ac:dyDescent="0.3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 thickBot="1" x14ac:dyDescent="0.3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 thickBot="1" x14ac:dyDescent="0.3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 thickBot="1" x14ac:dyDescent="0.3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 thickBot="1" x14ac:dyDescent="0.3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 thickBot="1" x14ac:dyDescent="0.3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 thickBot="1" x14ac:dyDescent="0.3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 thickBot="1" x14ac:dyDescent="0.3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 thickBot="1" x14ac:dyDescent="0.3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 thickBot="1" x14ac:dyDescent="0.3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 thickBot="1" x14ac:dyDescent="0.3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 thickBot="1" x14ac:dyDescent="0.3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 thickBot="1" x14ac:dyDescent="0.3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 thickBot="1" x14ac:dyDescent="0.3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 thickBot="1" x14ac:dyDescent="0.3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 thickBot="1" x14ac:dyDescent="0.3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 thickBot="1" x14ac:dyDescent="0.3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 thickBot="1" x14ac:dyDescent="0.3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 thickBot="1" x14ac:dyDescent="0.3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 thickBot="1" x14ac:dyDescent="0.3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 thickBot="1" x14ac:dyDescent="0.3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 thickBot="1" x14ac:dyDescent="0.3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 thickBot="1" x14ac:dyDescent="0.3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 thickBot="1" x14ac:dyDescent="0.3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 thickBot="1" x14ac:dyDescent="0.3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 thickBot="1" x14ac:dyDescent="0.3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 thickBot="1" x14ac:dyDescent="0.3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 thickBot="1" x14ac:dyDescent="0.3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 thickBot="1" x14ac:dyDescent="0.3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 thickBot="1" x14ac:dyDescent="0.3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 thickBot="1" x14ac:dyDescent="0.3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 thickBot="1" x14ac:dyDescent="0.3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 thickBot="1" x14ac:dyDescent="0.3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 thickBot="1" x14ac:dyDescent="0.3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 thickBot="1" x14ac:dyDescent="0.3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 thickBot="1" x14ac:dyDescent="0.3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 thickBot="1" x14ac:dyDescent="0.3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 thickBot="1" x14ac:dyDescent="0.3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 thickBot="1" x14ac:dyDescent="0.3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 thickBot="1" x14ac:dyDescent="0.3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 thickBot="1" x14ac:dyDescent="0.3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 thickBot="1" x14ac:dyDescent="0.3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 thickBot="1" x14ac:dyDescent="0.3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 thickBot="1" x14ac:dyDescent="0.3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 thickBot="1" x14ac:dyDescent="0.3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 thickBot="1" x14ac:dyDescent="0.3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 thickBot="1" x14ac:dyDescent="0.3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 thickBot="1" x14ac:dyDescent="0.3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 thickBot="1" x14ac:dyDescent="0.3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 thickBot="1" x14ac:dyDescent="0.3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 thickBot="1" x14ac:dyDescent="0.3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 thickBot="1" x14ac:dyDescent="0.3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 thickBot="1" x14ac:dyDescent="0.3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 thickBot="1" x14ac:dyDescent="0.3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 thickBot="1" x14ac:dyDescent="0.3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 thickBot="1" x14ac:dyDescent="0.3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 thickBot="1" x14ac:dyDescent="0.3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 thickBot="1" x14ac:dyDescent="0.3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 thickBot="1" x14ac:dyDescent="0.3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 thickBot="1" x14ac:dyDescent="0.3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 thickBot="1" x14ac:dyDescent="0.3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 thickBot="1" x14ac:dyDescent="0.3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 thickBot="1" x14ac:dyDescent="0.3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 thickBot="1" x14ac:dyDescent="0.3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 thickBot="1" x14ac:dyDescent="0.3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 thickBot="1" x14ac:dyDescent="0.3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 thickBot="1" x14ac:dyDescent="0.3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 thickBot="1" x14ac:dyDescent="0.3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 thickBot="1" x14ac:dyDescent="0.3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 thickBot="1" x14ac:dyDescent="0.3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 thickBot="1" x14ac:dyDescent="0.3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 thickBot="1" x14ac:dyDescent="0.3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 thickBot="1" x14ac:dyDescent="0.3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 thickBot="1" x14ac:dyDescent="0.3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 thickBot="1" x14ac:dyDescent="0.3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 thickBot="1" x14ac:dyDescent="0.3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 thickBot="1" x14ac:dyDescent="0.3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 thickBot="1" x14ac:dyDescent="0.3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 thickBot="1" x14ac:dyDescent="0.3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 thickBot="1" x14ac:dyDescent="0.3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 thickBot="1" x14ac:dyDescent="0.3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 thickBot="1" x14ac:dyDescent="0.3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 thickBot="1" x14ac:dyDescent="0.3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 thickBot="1" x14ac:dyDescent="0.3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 thickBot="1" x14ac:dyDescent="0.3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 thickBot="1" x14ac:dyDescent="0.3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 thickBot="1" x14ac:dyDescent="0.3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 thickBot="1" x14ac:dyDescent="0.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 thickBot="1" x14ac:dyDescent="0.3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 thickBot="1" x14ac:dyDescent="0.3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 thickBot="1" x14ac:dyDescent="0.3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 thickBot="1" x14ac:dyDescent="0.3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 thickBot="1" x14ac:dyDescent="0.3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 thickBot="1" x14ac:dyDescent="0.3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 thickBot="1" x14ac:dyDescent="0.3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 thickBot="1" x14ac:dyDescent="0.3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 thickBot="1" x14ac:dyDescent="0.3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 thickBot="1" x14ac:dyDescent="0.3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 thickBot="1" x14ac:dyDescent="0.3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 thickBot="1" x14ac:dyDescent="0.3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 thickBot="1" x14ac:dyDescent="0.3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 thickBot="1" x14ac:dyDescent="0.3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 thickBot="1" x14ac:dyDescent="0.3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 thickBot="1" x14ac:dyDescent="0.3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 thickBot="1" x14ac:dyDescent="0.3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 thickBot="1" x14ac:dyDescent="0.3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 thickBot="1" x14ac:dyDescent="0.3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 thickBot="1" x14ac:dyDescent="0.3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 thickBot="1" x14ac:dyDescent="0.3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 thickBot="1" x14ac:dyDescent="0.3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 thickBot="1" x14ac:dyDescent="0.3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 thickBot="1" x14ac:dyDescent="0.3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 thickBot="1" x14ac:dyDescent="0.3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 thickBot="1" x14ac:dyDescent="0.3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 thickBot="1" x14ac:dyDescent="0.3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 thickBot="1" x14ac:dyDescent="0.3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 thickBot="1" x14ac:dyDescent="0.3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 thickBot="1" x14ac:dyDescent="0.3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 thickBot="1" x14ac:dyDescent="0.3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 thickBot="1" x14ac:dyDescent="0.3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 thickBot="1" x14ac:dyDescent="0.3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 thickBot="1" x14ac:dyDescent="0.3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 thickBot="1" x14ac:dyDescent="0.3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 thickBot="1" x14ac:dyDescent="0.3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 thickBot="1" x14ac:dyDescent="0.3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 thickBot="1" x14ac:dyDescent="0.3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 thickBot="1" x14ac:dyDescent="0.3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 thickBot="1" x14ac:dyDescent="0.3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 thickBot="1" x14ac:dyDescent="0.3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 thickBot="1" x14ac:dyDescent="0.3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 thickBot="1" x14ac:dyDescent="0.3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 thickBot="1" x14ac:dyDescent="0.3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 thickBot="1" x14ac:dyDescent="0.3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 thickBot="1" x14ac:dyDescent="0.3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 thickBot="1" x14ac:dyDescent="0.3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 thickBot="1" x14ac:dyDescent="0.3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 thickBot="1" x14ac:dyDescent="0.3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 thickBot="1" x14ac:dyDescent="0.3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 thickBot="1" x14ac:dyDescent="0.3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 thickBot="1" x14ac:dyDescent="0.3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 thickBot="1" x14ac:dyDescent="0.3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 thickBot="1" x14ac:dyDescent="0.3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 thickBot="1" x14ac:dyDescent="0.3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 thickBot="1" x14ac:dyDescent="0.3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 thickBot="1" x14ac:dyDescent="0.3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 thickBot="1" x14ac:dyDescent="0.3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 thickBot="1" x14ac:dyDescent="0.3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 thickBot="1" x14ac:dyDescent="0.3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 thickBot="1" x14ac:dyDescent="0.3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 thickBot="1" x14ac:dyDescent="0.3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 thickBot="1" x14ac:dyDescent="0.3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 thickBot="1" x14ac:dyDescent="0.3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 thickBot="1" x14ac:dyDescent="0.3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 thickBot="1" x14ac:dyDescent="0.3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 thickBot="1" x14ac:dyDescent="0.3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 thickBot="1" x14ac:dyDescent="0.3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 thickBot="1" x14ac:dyDescent="0.3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 thickBot="1" x14ac:dyDescent="0.3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 thickBot="1" x14ac:dyDescent="0.3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 thickBot="1" x14ac:dyDescent="0.3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 thickBot="1" x14ac:dyDescent="0.3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 thickBot="1" x14ac:dyDescent="0.3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 thickBot="1" x14ac:dyDescent="0.3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 thickBot="1" x14ac:dyDescent="0.3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 thickBot="1" x14ac:dyDescent="0.3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 thickBot="1" x14ac:dyDescent="0.3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 thickBot="1" x14ac:dyDescent="0.3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 thickBot="1" x14ac:dyDescent="0.3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 thickBot="1" x14ac:dyDescent="0.3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 thickBot="1" x14ac:dyDescent="0.3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 thickBot="1" x14ac:dyDescent="0.3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 thickBot="1" x14ac:dyDescent="0.3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 thickBot="1" x14ac:dyDescent="0.3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 thickBot="1" x14ac:dyDescent="0.3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 thickBot="1" x14ac:dyDescent="0.3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 thickBot="1" x14ac:dyDescent="0.3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 thickBot="1" x14ac:dyDescent="0.3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 thickBot="1" x14ac:dyDescent="0.3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 thickBot="1" x14ac:dyDescent="0.3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 thickBot="1" x14ac:dyDescent="0.3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 thickBot="1" x14ac:dyDescent="0.3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 thickBot="1" x14ac:dyDescent="0.3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 thickBot="1" x14ac:dyDescent="0.3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 thickBot="1" x14ac:dyDescent="0.3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 thickBot="1" x14ac:dyDescent="0.3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 thickBot="1" x14ac:dyDescent="0.3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 thickBot="1" x14ac:dyDescent="0.3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 thickBot="1" x14ac:dyDescent="0.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 thickBot="1" x14ac:dyDescent="0.3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 thickBot="1" x14ac:dyDescent="0.3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 thickBot="1" x14ac:dyDescent="0.3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 thickBot="1" x14ac:dyDescent="0.3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 thickBot="1" x14ac:dyDescent="0.3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 thickBot="1" x14ac:dyDescent="0.3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 thickBot="1" x14ac:dyDescent="0.3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 thickBot="1" x14ac:dyDescent="0.3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 thickBot="1" x14ac:dyDescent="0.3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 thickBot="1" x14ac:dyDescent="0.3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 thickBot="1" x14ac:dyDescent="0.3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 thickBot="1" x14ac:dyDescent="0.3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 thickBot="1" x14ac:dyDescent="0.3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 thickBot="1" x14ac:dyDescent="0.3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 thickBot="1" x14ac:dyDescent="0.3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 thickBot="1" x14ac:dyDescent="0.3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 thickBot="1" x14ac:dyDescent="0.3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 thickBot="1" x14ac:dyDescent="0.3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 thickBot="1" x14ac:dyDescent="0.3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 thickBot="1" x14ac:dyDescent="0.3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 thickBot="1" x14ac:dyDescent="0.3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 thickBot="1" x14ac:dyDescent="0.3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 thickBot="1" x14ac:dyDescent="0.3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 thickBot="1" x14ac:dyDescent="0.3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 thickBot="1" x14ac:dyDescent="0.3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 thickBot="1" x14ac:dyDescent="0.3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 thickBot="1" x14ac:dyDescent="0.3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 thickBot="1" x14ac:dyDescent="0.3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 thickBot="1" x14ac:dyDescent="0.3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 thickBot="1" x14ac:dyDescent="0.3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 thickBot="1" x14ac:dyDescent="0.3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 thickBot="1" x14ac:dyDescent="0.3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 thickBot="1" x14ac:dyDescent="0.3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 thickBot="1" x14ac:dyDescent="0.3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 thickBot="1" x14ac:dyDescent="0.3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 thickBot="1" x14ac:dyDescent="0.3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 thickBot="1" x14ac:dyDescent="0.3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 thickBot="1" x14ac:dyDescent="0.3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 thickBot="1" x14ac:dyDescent="0.3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 thickBot="1" x14ac:dyDescent="0.3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 thickBot="1" x14ac:dyDescent="0.3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 thickBot="1" x14ac:dyDescent="0.3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 thickBot="1" x14ac:dyDescent="0.3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 thickBot="1" x14ac:dyDescent="0.3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 thickBot="1" x14ac:dyDescent="0.3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 thickBot="1" x14ac:dyDescent="0.3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 thickBot="1" x14ac:dyDescent="0.3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 thickBot="1" x14ac:dyDescent="0.3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 thickBot="1" x14ac:dyDescent="0.3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 thickBot="1" x14ac:dyDescent="0.3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 thickBot="1" x14ac:dyDescent="0.3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 thickBot="1" x14ac:dyDescent="0.3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 thickBot="1" x14ac:dyDescent="0.3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 thickBot="1" x14ac:dyDescent="0.3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 thickBot="1" x14ac:dyDescent="0.3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 thickBot="1" x14ac:dyDescent="0.3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 thickBot="1" x14ac:dyDescent="0.3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 thickBot="1" x14ac:dyDescent="0.3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 thickBot="1" x14ac:dyDescent="0.3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 thickBot="1" x14ac:dyDescent="0.3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 thickBot="1" x14ac:dyDescent="0.3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 thickBot="1" x14ac:dyDescent="0.3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 thickBot="1" x14ac:dyDescent="0.3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 thickBot="1" x14ac:dyDescent="0.3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 thickBot="1" x14ac:dyDescent="0.3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 thickBot="1" x14ac:dyDescent="0.3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 thickBot="1" x14ac:dyDescent="0.3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 thickBot="1" x14ac:dyDescent="0.3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 thickBot="1" x14ac:dyDescent="0.3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 thickBot="1" x14ac:dyDescent="0.3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 thickBot="1" x14ac:dyDescent="0.3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 thickBot="1" x14ac:dyDescent="0.3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 thickBot="1" x14ac:dyDescent="0.3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 thickBot="1" x14ac:dyDescent="0.3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 thickBot="1" x14ac:dyDescent="0.3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 thickBot="1" x14ac:dyDescent="0.3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 thickBot="1" x14ac:dyDescent="0.3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 thickBot="1" x14ac:dyDescent="0.3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 thickBot="1" x14ac:dyDescent="0.3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 thickBot="1" x14ac:dyDescent="0.3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 thickBot="1" x14ac:dyDescent="0.3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 thickBot="1" x14ac:dyDescent="0.3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 thickBot="1" x14ac:dyDescent="0.3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 thickBot="1" x14ac:dyDescent="0.3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 thickBot="1" x14ac:dyDescent="0.3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 thickBot="1" x14ac:dyDescent="0.3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 thickBot="1" x14ac:dyDescent="0.3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 thickBot="1" x14ac:dyDescent="0.3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 thickBot="1" x14ac:dyDescent="0.3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 thickBot="1" x14ac:dyDescent="0.3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 thickBot="1" x14ac:dyDescent="0.3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 thickBot="1" x14ac:dyDescent="0.3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 thickBot="1" x14ac:dyDescent="0.3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 thickBot="1" x14ac:dyDescent="0.3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 thickBot="1" x14ac:dyDescent="0.3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 thickBot="1" x14ac:dyDescent="0.3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 thickBot="1" x14ac:dyDescent="0.3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 thickBot="1" x14ac:dyDescent="0.3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 thickBot="1" x14ac:dyDescent="0.3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 thickBot="1" x14ac:dyDescent="0.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 thickBot="1" x14ac:dyDescent="0.3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 thickBot="1" x14ac:dyDescent="0.3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 thickBot="1" x14ac:dyDescent="0.3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 thickBot="1" x14ac:dyDescent="0.3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 thickBot="1" x14ac:dyDescent="0.3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 thickBot="1" x14ac:dyDescent="0.3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 thickBot="1" x14ac:dyDescent="0.3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 thickBot="1" x14ac:dyDescent="0.3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 thickBot="1" x14ac:dyDescent="0.3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 thickBot="1" x14ac:dyDescent="0.3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 thickBot="1" x14ac:dyDescent="0.3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 thickBot="1" x14ac:dyDescent="0.3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 thickBot="1" x14ac:dyDescent="0.3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 thickBot="1" x14ac:dyDescent="0.3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 thickBot="1" x14ac:dyDescent="0.3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 thickBot="1" x14ac:dyDescent="0.3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 thickBot="1" x14ac:dyDescent="0.3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 thickBot="1" x14ac:dyDescent="0.3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 thickBot="1" x14ac:dyDescent="0.3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 thickBot="1" x14ac:dyDescent="0.3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 thickBot="1" x14ac:dyDescent="0.3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 thickBot="1" x14ac:dyDescent="0.3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 thickBot="1" x14ac:dyDescent="0.3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 thickBot="1" x14ac:dyDescent="0.3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 thickBot="1" x14ac:dyDescent="0.3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 thickBot="1" x14ac:dyDescent="0.3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 thickBot="1" x14ac:dyDescent="0.3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 thickBot="1" x14ac:dyDescent="0.3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 thickBot="1" x14ac:dyDescent="0.3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 thickBot="1" x14ac:dyDescent="0.3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 thickBot="1" x14ac:dyDescent="0.3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 thickBot="1" x14ac:dyDescent="0.3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 thickBot="1" x14ac:dyDescent="0.3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 thickBot="1" x14ac:dyDescent="0.3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 thickBot="1" x14ac:dyDescent="0.3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 thickBot="1" x14ac:dyDescent="0.3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 thickBot="1" x14ac:dyDescent="0.3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 thickBot="1" x14ac:dyDescent="0.3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 thickBot="1" x14ac:dyDescent="0.3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 thickBot="1" x14ac:dyDescent="0.3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 thickBot="1" x14ac:dyDescent="0.3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 thickBot="1" x14ac:dyDescent="0.3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 thickBot="1" x14ac:dyDescent="0.3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 thickBot="1" x14ac:dyDescent="0.3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 thickBot="1" x14ac:dyDescent="0.3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 thickBot="1" x14ac:dyDescent="0.3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 thickBot="1" x14ac:dyDescent="0.3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 thickBot="1" x14ac:dyDescent="0.3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 thickBot="1" x14ac:dyDescent="0.3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 thickBot="1" x14ac:dyDescent="0.3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 thickBot="1" x14ac:dyDescent="0.3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 thickBot="1" x14ac:dyDescent="0.3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 thickBot="1" x14ac:dyDescent="0.3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 thickBot="1" x14ac:dyDescent="0.3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 thickBot="1" x14ac:dyDescent="0.3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 thickBot="1" x14ac:dyDescent="0.3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 thickBot="1" x14ac:dyDescent="0.3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 thickBot="1" x14ac:dyDescent="0.3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 thickBot="1" x14ac:dyDescent="0.3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 thickBot="1" x14ac:dyDescent="0.3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 thickBot="1" x14ac:dyDescent="0.3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 thickBot="1" x14ac:dyDescent="0.3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 thickBot="1" x14ac:dyDescent="0.3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 thickBot="1" x14ac:dyDescent="0.3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 thickBot="1" x14ac:dyDescent="0.3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Data</vt:lpstr>
      <vt:lpstr>Q1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Amesar, Mahek (FT D AA IN MO SW DIGI)</dc:creator>
  <cp:lastModifiedBy>Sanjana .</cp:lastModifiedBy>
  <dcterms:created xsi:type="dcterms:W3CDTF">2025-07-22T10:24:28Z</dcterms:created>
  <dcterms:modified xsi:type="dcterms:W3CDTF">2025-07-25T13:28:27Z</dcterms:modified>
</cp:coreProperties>
</file>