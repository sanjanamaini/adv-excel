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8_{C3992EC0-CD76-4707-8195-9E2CB3CE6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)" sheetId="2" r:id="rId1"/>
    <sheet name="Q2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B42" i="2"/>
  <c r="B41" i="2"/>
  <c r="B40" i="2"/>
  <c r="B39" i="2"/>
  <c r="B38" i="2"/>
  <c r="C42" i="2"/>
  <c r="C41" i="2"/>
  <c r="C40" i="2"/>
  <c r="C39" i="2"/>
  <c r="C38" i="2"/>
</calcChain>
</file>

<file path=xl/sharedStrings.xml><?xml version="1.0" encoding="utf-8"?>
<sst xmlns="http://schemas.openxmlformats.org/spreadsheetml/2006/main" count="68" uniqueCount="58">
  <si>
    <t>ID</t>
  </si>
  <si>
    <t>Name</t>
  </si>
  <si>
    <t>Age</t>
  </si>
  <si>
    <t>Sales</t>
  </si>
  <si>
    <t>Target Met</t>
  </si>
  <si>
    <t>Region</t>
  </si>
  <si>
    <t>Email</t>
  </si>
  <si>
    <t>Phone</t>
  </si>
  <si>
    <t>John</t>
  </si>
  <si>
    <t>Alice</t>
  </si>
  <si>
    <t>Bob</t>
  </si>
  <si>
    <t>Emma</t>
  </si>
  <si>
    <t>Raj</t>
  </si>
  <si>
    <t>Maria</t>
  </si>
  <si>
    <t>Steve</t>
  </si>
  <si>
    <t>Lily</t>
  </si>
  <si>
    <t>Kevin</t>
  </si>
  <si>
    <t>Diana</t>
  </si>
  <si>
    <t>East</t>
  </si>
  <si>
    <t>North</t>
  </si>
  <si>
    <t>South</t>
  </si>
  <si>
    <t>West</t>
  </si>
  <si>
    <t>john@mail.com</t>
  </si>
  <si>
    <t>emma@mail.com</t>
  </si>
  <si>
    <t>raj@fin.com</t>
  </si>
  <si>
    <t>maria@mail.com</t>
  </si>
  <si>
    <t>lily@mail.com</t>
  </si>
  <si>
    <t>9876543210</t>
  </si>
  <si>
    <t>9123456789</t>
  </si>
  <si>
    <t>8345678910</t>
  </si>
  <si>
    <t>8001234567</t>
  </si>
  <si>
    <t>Question 1: Has Contact Info
Column I — Has Contact (OR)
Return TRUE if the person has either an Email or a Phone number.</t>
  </si>
  <si>
    <t>Question 2: Bonus Eligible
Column J — Bonus Eligible (AND/OR)
👉 Return TRUE if:
Sales is greater than 10,000 AND Target Met is TRUE
Sales is between 7000 and 10000 AND Region is "North"</t>
  </si>
  <si>
    <t>Question 3: Underage with No Contact Info
Column K — Underage No Contact (AND)
👉 Return TRUE if:
Age is less than 18
AND no Email and no Phone are provided</t>
  </si>
  <si>
    <t>Question 4: High Sales or North Region
Column L — High Sales or North (OR)
👉 Return TRUE if:
Sales &gt; 12000
OR
Region = "North</t>
  </si>
  <si>
    <t>Question 5: Active North Region Age &gt; 20
Column M — Active &amp; North &amp; Age&gt;20 (AND)
👉 Return TRUE if:
Age is greater than 20
AND Region is "North"
AND Target Met is TRUE</t>
  </si>
  <si>
    <t>Has Contact?</t>
  </si>
  <si>
    <t>Bonus Eligible?</t>
  </si>
  <si>
    <t>Underage No Contact ?</t>
  </si>
  <si>
    <t>High Sales or North ?</t>
  </si>
  <si>
    <t>Active &amp; North &amp; Age&gt;20 ?</t>
  </si>
  <si>
    <t>Q1) List and explain five different data types used in Excel.
For each, provide an example of how that data type would appear in a cell.</t>
  </si>
  <si>
    <r>
      <rPr>
        <b/>
        <sz val="11"/>
        <color theme="1"/>
        <rFont val="Calibri"/>
        <family val="2"/>
        <scheme val="minor"/>
      </rPr>
      <t>Q2) Given the following values in Excel:</t>
    </r>
    <r>
      <rPr>
        <sz val="11"/>
        <color theme="1"/>
        <rFont val="Calibri"/>
        <family val="2"/>
        <scheme val="minor"/>
      </rPr>
      <t xml:space="preserve">
Cell A1 = 10
Cell B1 = 4
Write formulas in Excel to perform the following using arithmetic operators:
a) Addition
b) Subtraction
c) Multiplication
d) Division
e) Exponentiation (A1 raised to the power of B1)
</t>
    </r>
  </si>
  <si>
    <t>A1) The 5 data types used in excel are as follows:</t>
  </si>
  <si>
    <t>example:</t>
  </si>
  <si>
    <t>"Sunday"</t>
  </si>
  <si>
    <t>"XY123"</t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</si>
  <si>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TEXT: </t>
    </r>
    <r>
      <rPr>
        <sz val="11"/>
        <color theme="1"/>
        <rFont val="Calibri"/>
        <family val="2"/>
        <scheme val="minor"/>
      </rPr>
      <t>It represents textual or alphabetical data. It also includes alpha-numeric data which is a combination of alphabets,symbols and numbers.</t>
    </r>
  </si>
  <si>
    <r>
      <t xml:space="preserve">2. </t>
    </r>
    <r>
      <rPr>
        <b/>
        <sz val="11"/>
        <color theme="1"/>
        <rFont val="Calibri"/>
        <family val="2"/>
        <scheme val="minor"/>
      </rPr>
      <t xml:space="preserve">NUMBER: </t>
    </r>
    <r>
      <rPr>
        <sz val="11"/>
        <color theme="1"/>
        <rFont val="Calibri"/>
        <family val="2"/>
        <scheme val="minor"/>
      </rPr>
      <t>It represents numeric data to perform calculations on.</t>
    </r>
  </si>
  <si>
    <r>
      <t xml:space="preserve">3. </t>
    </r>
    <r>
      <rPr>
        <b/>
        <sz val="11"/>
        <color theme="1"/>
        <rFont val="Calibri"/>
        <family val="2"/>
        <scheme val="minor"/>
      </rPr>
      <t xml:space="preserve">DATE/TIME: </t>
    </r>
    <r>
      <rPr>
        <sz val="11"/>
        <color theme="1"/>
        <rFont val="Calibri"/>
        <family val="2"/>
        <scheme val="minor"/>
      </rPr>
      <t>It represents date and time data.</t>
    </r>
  </si>
  <si>
    <r>
      <t xml:space="preserve">4. </t>
    </r>
    <r>
      <rPr>
        <b/>
        <sz val="11"/>
        <color theme="1"/>
        <rFont val="Calibri"/>
        <family val="2"/>
        <scheme val="minor"/>
      </rPr>
      <t xml:space="preserve">BOOLEAN: </t>
    </r>
    <r>
      <rPr>
        <sz val="11"/>
        <color theme="1"/>
        <rFont val="Calibri"/>
        <family val="2"/>
        <scheme val="minor"/>
      </rPr>
      <t>It represents logical values (TRUE OR FALSE)</t>
    </r>
  </si>
  <si>
    <r>
      <t xml:space="preserve">5. </t>
    </r>
    <r>
      <rPr>
        <b/>
        <sz val="11"/>
        <color theme="1"/>
        <rFont val="Calibri"/>
        <family val="2"/>
        <scheme val="minor"/>
      </rPr>
      <t xml:space="preserve">ERROR: </t>
    </r>
    <r>
      <rPr>
        <sz val="11"/>
        <color theme="1"/>
        <rFont val="Calibri"/>
        <family val="2"/>
        <scheme val="minor"/>
      </rPr>
      <t>special values that indicate an error in a formula or calculation.</t>
    </r>
  </si>
  <si>
    <t>A2) Instead of cells A1 and B1, I am considering cells A36 and B36</t>
  </si>
  <si>
    <t>a) ADDITION:</t>
  </si>
  <si>
    <t>b) SUB:</t>
  </si>
  <si>
    <t>c) MUL:</t>
  </si>
  <si>
    <t>d) DIV:</t>
  </si>
  <si>
    <t>e) EXP: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</si>
</sst>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403E-B3A3-403D-A3AD-071A93484FCB}">
  <dimension ref="A2:I42"/>
  <sheetViews>
    <sheetView tabSelected="1" topLeftCell="A22" workbookViewId="0">
      <selection activeCell="A21" sqref="A21:I33"/>
    </sheetView>
  </sheetViews>
  <sheetFormatPr defaultRowHeight="14.4" x14ac:dyDescent="0.3"/>
  <cols>
    <col min="1" max="1" width="12.21875" customWidth="1"/>
    <col min="2" max="2" width="9.5546875" bestFit="1" customWidth="1"/>
    <col min="3" max="3" width="13.6640625" customWidth="1"/>
    <col min="6" max="6" width="29.109375" customWidth="1"/>
  </cols>
  <sheetData>
    <row r="2" spans="1:8" x14ac:dyDescent="0.3">
      <c r="A2" s="3" t="s">
        <v>41</v>
      </c>
      <c r="B2" s="4"/>
      <c r="C2" s="4"/>
      <c r="D2" s="4"/>
      <c r="E2" s="4"/>
      <c r="F2" s="4"/>
    </row>
    <row r="3" spans="1:8" x14ac:dyDescent="0.3">
      <c r="A3" s="4"/>
      <c r="B3" s="4"/>
      <c r="C3" s="4"/>
      <c r="D3" s="4"/>
      <c r="E3" s="4"/>
      <c r="F3" s="4"/>
    </row>
    <row r="4" spans="1:8" x14ac:dyDescent="0.3">
      <c r="A4" s="10"/>
      <c r="B4" s="10"/>
      <c r="C4" s="10"/>
      <c r="D4" s="10"/>
      <c r="E4" s="10"/>
      <c r="F4" s="10"/>
    </row>
    <row r="5" spans="1:8" x14ac:dyDescent="0.3">
      <c r="A5" s="11" t="s">
        <v>43</v>
      </c>
      <c r="B5" s="11"/>
      <c r="C5" s="11"/>
      <c r="D5" s="11"/>
      <c r="E5" s="11"/>
      <c r="F5" s="11"/>
      <c r="G5" s="11"/>
      <c r="H5" s="11"/>
    </row>
    <row r="6" spans="1:8" s="11" customFormat="1" x14ac:dyDescent="0.3">
      <c r="A6" s="11" t="s">
        <v>47</v>
      </c>
    </row>
    <row r="7" spans="1:8" s="10" customFormat="1" ht="15" customHeight="1" x14ac:dyDescent="0.3">
      <c r="A7" s="10" t="s">
        <v>44</v>
      </c>
      <c r="B7" s="10" t="s">
        <v>45</v>
      </c>
      <c r="C7" s="10" t="s">
        <v>46</v>
      </c>
    </row>
    <row r="8" spans="1:8" s="12" customFormat="1" x14ac:dyDescent="0.3">
      <c r="A8" s="12" t="s">
        <v>48</v>
      </c>
    </row>
    <row r="9" spans="1:8" x14ac:dyDescent="0.3">
      <c r="A9" t="s">
        <v>44</v>
      </c>
      <c r="B9">
        <v>245</v>
      </c>
    </row>
    <row r="10" spans="1:8" s="12" customFormat="1" x14ac:dyDescent="0.3">
      <c r="A10" s="12" t="s">
        <v>49</v>
      </c>
    </row>
    <row r="11" spans="1:8" x14ac:dyDescent="0.3">
      <c r="A11" t="s">
        <v>44</v>
      </c>
      <c r="B11" s="13">
        <v>45852</v>
      </c>
      <c r="C11" s="14">
        <v>0.80069444444444449</v>
      </c>
    </row>
    <row r="12" spans="1:8" s="12" customFormat="1" x14ac:dyDescent="0.3">
      <c r="A12" s="12" t="s">
        <v>50</v>
      </c>
    </row>
    <row r="13" spans="1:8" x14ac:dyDescent="0.3">
      <c r="A13" t="s">
        <v>44</v>
      </c>
      <c r="B13" t="b">
        <v>1</v>
      </c>
      <c r="C13" t="b">
        <v>0</v>
      </c>
    </row>
    <row r="14" spans="1:8" s="12" customFormat="1" x14ac:dyDescent="0.3">
      <c r="A14" s="12" t="s">
        <v>51</v>
      </c>
    </row>
    <row r="15" spans="1:8" x14ac:dyDescent="0.3">
      <c r="A15" t="s">
        <v>44</v>
      </c>
      <c r="B15" t="e">
        <v>#VALUE!</v>
      </c>
      <c r="C15" t="e">
        <v>#DIV/0!</v>
      </c>
    </row>
    <row r="21" spans="1:9" x14ac:dyDescent="0.3">
      <c r="A21" s="5" t="s">
        <v>42</v>
      </c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6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6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6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6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6"/>
      <c r="B33" s="6"/>
      <c r="C33" s="6"/>
      <c r="D33" s="6"/>
      <c r="E33" s="6"/>
      <c r="F33" s="6"/>
      <c r="G33" s="6"/>
      <c r="H33" s="6"/>
      <c r="I33" s="6"/>
    </row>
    <row r="35" spans="1:9" s="12" customFormat="1" x14ac:dyDescent="0.3">
      <c r="A35" s="12" t="s">
        <v>52</v>
      </c>
    </row>
    <row r="36" spans="1:9" x14ac:dyDescent="0.3">
      <c r="A36" s="9">
        <v>10</v>
      </c>
      <c r="B36" s="9">
        <v>4</v>
      </c>
    </row>
    <row r="37" spans="1:9" x14ac:dyDescent="0.3">
      <c r="B37" s="9"/>
    </row>
    <row r="38" spans="1:9" x14ac:dyDescent="0.3">
      <c r="A38" t="s">
        <v>53</v>
      </c>
      <c r="B38" s="9">
        <f>A36+B36</f>
        <v>14</v>
      </c>
      <c r="C38" s="9" t="str">
        <f ca="1">_xlfn.FORMULATEXT(B38)</f>
        <v>=A36+B36</v>
      </c>
    </row>
    <row r="39" spans="1:9" x14ac:dyDescent="0.3">
      <c r="A39" t="s">
        <v>54</v>
      </c>
      <c r="B39" s="9">
        <f>A36-B36</f>
        <v>6</v>
      </c>
      <c r="C39" s="9" t="str">
        <f ca="1">_xlfn.FORMULATEXT(B39)</f>
        <v>=A36-B36</v>
      </c>
    </row>
    <row r="40" spans="1:9" x14ac:dyDescent="0.3">
      <c r="A40" t="s">
        <v>55</v>
      </c>
      <c r="B40" s="9">
        <f>A36*B36</f>
        <v>40</v>
      </c>
      <c r="C40" s="9" t="str">
        <f ca="1">_xlfn.FORMULATEXT(B40)</f>
        <v>=A36*B36</v>
      </c>
    </row>
    <row r="41" spans="1:9" x14ac:dyDescent="0.3">
      <c r="A41" t="s">
        <v>56</v>
      </c>
      <c r="B41" s="9">
        <f>A36/B36</f>
        <v>2.5</v>
      </c>
      <c r="C41" s="9" t="str">
        <f ca="1">_xlfn.FORMULATEXT(B41)</f>
        <v>=A36/B36</v>
      </c>
    </row>
    <row r="42" spans="1:9" x14ac:dyDescent="0.3">
      <c r="A42" t="s">
        <v>57</v>
      </c>
      <c r="B42" s="9">
        <f>A36^B36</f>
        <v>10000</v>
      </c>
      <c r="C42" s="9" t="str">
        <f ca="1">_xlfn.FORMULATEXT(B42)</f>
        <v>=A36^B36</v>
      </c>
    </row>
  </sheetData>
  <mergeCells count="9">
    <mergeCell ref="A35:XFD35"/>
    <mergeCell ref="A2:F3"/>
    <mergeCell ref="A21:I33"/>
    <mergeCell ref="A5:H5"/>
    <mergeCell ref="A6:XFD6"/>
    <mergeCell ref="A8:XFD8"/>
    <mergeCell ref="A10:XFD10"/>
    <mergeCell ref="A12:XFD12"/>
    <mergeCell ref="A14:XF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zoomScale="66" zoomScaleNormal="100" workbookViewId="0">
      <selection activeCell="H16" sqref="H16"/>
    </sheetView>
  </sheetViews>
  <sheetFormatPr defaultRowHeight="14.4" x14ac:dyDescent="0.3"/>
  <cols>
    <col min="5" max="5" width="23" customWidth="1"/>
    <col min="7" max="7" width="17.88671875" customWidth="1"/>
    <col min="8" max="8" width="26.33203125" customWidth="1"/>
    <col min="9" max="9" width="26.88671875" customWidth="1"/>
    <col min="10" max="10" width="26" customWidth="1"/>
    <col min="11" max="11" width="41.33203125" customWidth="1"/>
    <col min="12" max="12" width="30.109375" customWidth="1"/>
    <col min="13" max="13" width="36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</row>
    <row r="2" spans="1:13" x14ac:dyDescent="0.3">
      <c r="A2">
        <v>1</v>
      </c>
      <c r="B2" t="s">
        <v>8</v>
      </c>
      <c r="C2">
        <v>29</v>
      </c>
      <c r="D2">
        <v>12000</v>
      </c>
      <c r="E2" t="b">
        <v>1</v>
      </c>
      <c r="F2" t="s">
        <v>18</v>
      </c>
      <c r="G2" t="s">
        <v>22</v>
      </c>
      <c r="I2" t="b">
        <f>OR(G2&lt;&gt;"",H2&lt;&gt;"")</f>
        <v>1</v>
      </c>
      <c r="J2" t="b">
        <f>OR(AND(D2&gt;10000,E2=TRUE),AND(D2&gt;=7000,D2&lt;=10000,F2="North"))</f>
        <v>1</v>
      </c>
      <c r="K2" t="b">
        <f>AND(C2&lt;18,G2="",H2="")</f>
        <v>0</v>
      </c>
      <c r="L2" t="b">
        <f>OR(D2&gt;12000,F2="North")</f>
        <v>0</v>
      </c>
      <c r="M2" t="b">
        <f>AND(C2&gt;20,F2="North",E2=TRUE)</f>
        <v>0</v>
      </c>
    </row>
    <row r="3" spans="1:13" x14ac:dyDescent="0.3">
      <c r="A3">
        <v>2</v>
      </c>
      <c r="B3" t="s">
        <v>9</v>
      </c>
      <c r="C3">
        <v>17</v>
      </c>
      <c r="D3">
        <v>8000</v>
      </c>
      <c r="E3" t="b">
        <v>0</v>
      </c>
      <c r="F3" t="s">
        <v>19</v>
      </c>
      <c r="H3" t="s">
        <v>27</v>
      </c>
      <c r="I3" t="b">
        <f t="shared" ref="I3:I11" si="0">OR(G3&lt;&gt;"",H3&lt;&gt;"")</f>
        <v>1</v>
      </c>
      <c r="J3" t="b">
        <f t="shared" ref="J3:J11" si="1">OR(AND(D3&gt;10000,E3=TRUE),AND(D3&gt;=7000,D3&lt;=10000,F3="North"))</f>
        <v>1</v>
      </c>
      <c r="K3" t="b">
        <f t="shared" ref="K3:K11" si="2">AND(C3&lt;18,G3="",H3="")</f>
        <v>0</v>
      </c>
      <c r="L3" t="b">
        <f t="shared" ref="L3:L11" si="3">OR(D3&gt;12000,F3="North")</f>
        <v>1</v>
      </c>
      <c r="M3" t="b">
        <f t="shared" ref="M3:M11" si="4">AND(C3&gt;20,F3="North",E3=TRUE)</f>
        <v>0</v>
      </c>
    </row>
    <row r="4" spans="1:13" x14ac:dyDescent="0.3">
      <c r="A4">
        <v>3</v>
      </c>
      <c r="B4" t="s">
        <v>10</v>
      </c>
      <c r="C4">
        <v>25</v>
      </c>
      <c r="D4">
        <v>9500</v>
      </c>
      <c r="E4" t="b">
        <v>0</v>
      </c>
      <c r="F4" t="s">
        <v>20</v>
      </c>
      <c r="I4" t="b">
        <f t="shared" si="0"/>
        <v>0</v>
      </c>
      <c r="J4" t="b">
        <f t="shared" si="1"/>
        <v>0</v>
      </c>
      <c r="K4" t="b">
        <f t="shared" si="2"/>
        <v>0</v>
      </c>
      <c r="L4" t="b">
        <f t="shared" si="3"/>
        <v>0</v>
      </c>
      <c r="M4" t="b">
        <f t="shared" si="4"/>
        <v>0</v>
      </c>
    </row>
    <row r="5" spans="1:13" x14ac:dyDescent="0.3">
      <c r="A5">
        <v>4</v>
      </c>
      <c r="B5" t="s">
        <v>11</v>
      </c>
      <c r="D5">
        <v>7000</v>
      </c>
      <c r="E5" t="b">
        <v>1</v>
      </c>
      <c r="F5" t="s">
        <v>19</v>
      </c>
      <c r="G5" t="s">
        <v>23</v>
      </c>
      <c r="H5" t="s">
        <v>28</v>
      </c>
      <c r="I5" t="b">
        <f t="shared" si="0"/>
        <v>1</v>
      </c>
      <c r="J5" t="b">
        <f t="shared" si="1"/>
        <v>1</v>
      </c>
      <c r="K5" t="b">
        <f t="shared" si="2"/>
        <v>0</v>
      </c>
      <c r="L5" t="b">
        <f t="shared" si="3"/>
        <v>1</v>
      </c>
      <c r="M5" t="b">
        <f t="shared" si="4"/>
        <v>0</v>
      </c>
    </row>
    <row r="6" spans="1:13" x14ac:dyDescent="0.3">
      <c r="A6">
        <v>5</v>
      </c>
      <c r="B6" t="s">
        <v>12</v>
      </c>
      <c r="C6">
        <v>30</v>
      </c>
      <c r="D6">
        <v>10500</v>
      </c>
      <c r="E6" t="b">
        <v>1</v>
      </c>
      <c r="F6" t="s">
        <v>21</v>
      </c>
      <c r="G6" t="s">
        <v>24</v>
      </c>
      <c r="I6" t="b">
        <f t="shared" si="0"/>
        <v>1</v>
      </c>
      <c r="J6" t="b">
        <f t="shared" si="1"/>
        <v>1</v>
      </c>
      <c r="K6" t="b">
        <f t="shared" si="2"/>
        <v>0</v>
      </c>
      <c r="L6" t="b">
        <f t="shared" si="3"/>
        <v>0</v>
      </c>
      <c r="M6" t="b">
        <f t="shared" si="4"/>
        <v>0</v>
      </c>
    </row>
    <row r="7" spans="1:13" x14ac:dyDescent="0.3">
      <c r="A7">
        <v>6</v>
      </c>
      <c r="B7" t="s">
        <v>13</v>
      </c>
      <c r="C7">
        <v>21</v>
      </c>
      <c r="D7">
        <v>5000</v>
      </c>
      <c r="E7" t="b">
        <v>0</v>
      </c>
      <c r="F7" t="s">
        <v>18</v>
      </c>
      <c r="G7" t="s">
        <v>25</v>
      </c>
      <c r="I7" t="b">
        <f t="shared" si="0"/>
        <v>1</v>
      </c>
      <c r="J7" t="b">
        <f t="shared" si="1"/>
        <v>0</v>
      </c>
      <c r="K7" t="b">
        <f t="shared" si="2"/>
        <v>0</v>
      </c>
      <c r="L7" t="b">
        <f t="shared" si="3"/>
        <v>0</v>
      </c>
      <c r="M7" t="b">
        <f t="shared" si="4"/>
        <v>0</v>
      </c>
    </row>
    <row r="8" spans="1:13" x14ac:dyDescent="0.3">
      <c r="A8">
        <v>7</v>
      </c>
      <c r="B8" t="s">
        <v>14</v>
      </c>
      <c r="C8">
        <v>19</v>
      </c>
      <c r="D8">
        <v>11000</v>
      </c>
      <c r="E8" t="b">
        <v>1</v>
      </c>
      <c r="F8" t="s">
        <v>19</v>
      </c>
      <c r="H8" t="s">
        <v>29</v>
      </c>
      <c r="I8" t="b">
        <f t="shared" si="0"/>
        <v>1</v>
      </c>
      <c r="J8" t="b">
        <f t="shared" si="1"/>
        <v>1</v>
      </c>
      <c r="K8" t="b">
        <f t="shared" si="2"/>
        <v>0</v>
      </c>
      <c r="L8" t="b">
        <f t="shared" si="3"/>
        <v>1</v>
      </c>
      <c r="M8" t="b">
        <f t="shared" si="4"/>
        <v>0</v>
      </c>
    </row>
    <row r="9" spans="1:13" x14ac:dyDescent="0.3">
      <c r="A9">
        <v>8</v>
      </c>
      <c r="B9" t="s">
        <v>15</v>
      </c>
      <c r="C9">
        <v>28</v>
      </c>
      <c r="D9">
        <v>6200</v>
      </c>
      <c r="E9" t="b">
        <v>0</v>
      </c>
      <c r="F9" t="s">
        <v>18</v>
      </c>
      <c r="G9" t="s">
        <v>26</v>
      </c>
      <c r="H9" t="s">
        <v>30</v>
      </c>
      <c r="I9" t="b">
        <f t="shared" si="0"/>
        <v>1</v>
      </c>
      <c r="J9" t="b">
        <f t="shared" si="1"/>
        <v>0</v>
      </c>
      <c r="K9" t="b">
        <f t="shared" si="2"/>
        <v>0</v>
      </c>
      <c r="L9" t="b">
        <f t="shared" si="3"/>
        <v>0</v>
      </c>
      <c r="M9" t="b">
        <f t="shared" si="4"/>
        <v>0</v>
      </c>
    </row>
    <row r="10" spans="1:13" x14ac:dyDescent="0.3">
      <c r="A10">
        <v>9</v>
      </c>
      <c r="B10" t="s">
        <v>16</v>
      </c>
      <c r="C10">
        <v>22</v>
      </c>
      <c r="D10">
        <v>13000</v>
      </c>
      <c r="E10" t="b">
        <v>1</v>
      </c>
      <c r="F10" t="s">
        <v>20</v>
      </c>
      <c r="I10" t="b">
        <f t="shared" si="0"/>
        <v>0</v>
      </c>
      <c r="J10" t="b">
        <f t="shared" si="1"/>
        <v>1</v>
      </c>
      <c r="K10" t="b">
        <f t="shared" si="2"/>
        <v>0</v>
      </c>
      <c r="L10" t="b">
        <f t="shared" si="3"/>
        <v>1</v>
      </c>
      <c r="M10" t="b">
        <f t="shared" si="4"/>
        <v>0</v>
      </c>
    </row>
    <row r="11" spans="1:13" x14ac:dyDescent="0.3">
      <c r="A11">
        <v>10</v>
      </c>
      <c r="B11" t="s">
        <v>17</v>
      </c>
      <c r="C11">
        <v>24</v>
      </c>
      <c r="D11">
        <v>6700</v>
      </c>
      <c r="E11" t="b">
        <v>0</v>
      </c>
      <c r="F11" t="s">
        <v>18</v>
      </c>
      <c r="I11" t="b">
        <f t="shared" si="0"/>
        <v>0</v>
      </c>
      <c r="J11" t="b">
        <f t="shared" si="1"/>
        <v>0</v>
      </c>
      <c r="K11" t="b">
        <f t="shared" si="2"/>
        <v>0</v>
      </c>
      <c r="L11" t="b">
        <f t="shared" si="3"/>
        <v>0</v>
      </c>
      <c r="M11" t="b">
        <f t="shared" si="4"/>
        <v>0</v>
      </c>
    </row>
    <row r="15" spans="1:13" ht="14.4" customHeight="1" x14ac:dyDescent="0.3">
      <c r="B15" s="3" t="s">
        <v>31</v>
      </c>
      <c r="C15" s="3"/>
      <c r="D15" s="3"/>
      <c r="E15" s="3"/>
    </row>
    <row r="16" spans="1:13" x14ac:dyDescent="0.3">
      <c r="B16" s="3"/>
      <c r="C16" s="3"/>
      <c r="D16" s="3"/>
      <c r="E16" s="3"/>
    </row>
    <row r="17" spans="2:5" x14ac:dyDescent="0.3">
      <c r="B17" s="3"/>
      <c r="C17" s="3"/>
      <c r="D17" s="3"/>
      <c r="E17" s="3"/>
    </row>
    <row r="18" spans="2:5" x14ac:dyDescent="0.3">
      <c r="B18" s="3"/>
      <c r="C18" s="3"/>
      <c r="D18" s="3"/>
      <c r="E18" s="3"/>
    </row>
    <row r="20" spans="2:5" x14ac:dyDescent="0.3">
      <c r="B20" s="3" t="s">
        <v>32</v>
      </c>
      <c r="C20" s="4"/>
      <c r="D20" s="4"/>
      <c r="E20" s="4"/>
    </row>
    <row r="21" spans="2:5" x14ac:dyDescent="0.3">
      <c r="B21" s="4"/>
      <c r="C21" s="4"/>
      <c r="D21" s="4"/>
      <c r="E21" s="4"/>
    </row>
    <row r="22" spans="2:5" x14ac:dyDescent="0.3">
      <c r="B22" s="4"/>
      <c r="C22" s="4"/>
      <c r="D22" s="4"/>
      <c r="E22" s="4"/>
    </row>
    <row r="23" spans="2:5" x14ac:dyDescent="0.3">
      <c r="B23" s="4"/>
      <c r="C23" s="4"/>
      <c r="D23" s="4"/>
      <c r="E23" s="4"/>
    </row>
    <row r="24" spans="2:5" x14ac:dyDescent="0.3">
      <c r="B24" s="4"/>
      <c r="C24" s="4"/>
      <c r="D24" s="4"/>
      <c r="E24" s="4"/>
    </row>
    <row r="26" spans="2:5" x14ac:dyDescent="0.3">
      <c r="B26" s="3" t="s">
        <v>33</v>
      </c>
      <c r="C26" s="4"/>
      <c r="D26" s="4"/>
      <c r="E26" s="4"/>
    </row>
    <row r="27" spans="2:5" x14ac:dyDescent="0.3">
      <c r="B27" s="4"/>
      <c r="C27" s="4"/>
      <c r="D27" s="4"/>
      <c r="E27" s="4"/>
    </row>
    <row r="28" spans="2:5" x14ac:dyDescent="0.3">
      <c r="B28" s="4"/>
      <c r="C28" s="4"/>
      <c r="D28" s="4"/>
      <c r="E28" s="4"/>
    </row>
    <row r="29" spans="2:5" x14ac:dyDescent="0.3">
      <c r="B29" s="4"/>
      <c r="C29" s="4"/>
      <c r="D29" s="4"/>
      <c r="E29" s="4"/>
    </row>
    <row r="30" spans="2:5" x14ac:dyDescent="0.3">
      <c r="B30" s="4"/>
      <c r="C30" s="4"/>
      <c r="D30" s="4"/>
      <c r="E30" s="4"/>
    </row>
    <row r="31" spans="2:5" x14ac:dyDescent="0.3">
      <c r="B31" s="4"/>
      <c r="C31" s="4"/>
      <c r="D31" s="4"/>
      <c r="E31" s="4"/>
    </row>
    <row r="33" spans="2:5" x14ac:dyDescent="0.3">
      <c r="B33" s="3" t="s">
        <v>34</v>
      </c>
      <c r="C33" s="4"/>
      <c r="D33" s="4"/>
      <c r="E33" s="4"/>
    </row>
    <row r="34" spans="2:5" x14ac:dyDescent="0.3">
      <c r="B34" s="4"/>
      <c r="C34" s="4"/>
      <c r="D34" s="4"/>
      <c r="E34" s="4"/>
    </row>
    <row r="35" spans="2:5" x14ac:dyDescent="0.3">
      <c r="B35" s="4"/>
      <c r="C35" s="4"/>
      <c r="D35" s="4"/>
      <c r="E35" s="4"/>
    </row>
    <row r="36" spans="2:5" x14ac:dyDescent="0.3">
      <c r="B36" s="4"/>
      <c r="C36" s="4"/>
      <c r="D36" s="4"/>
      <c r="E36" s="4"/>
    </row>
    <row r="37" spans="2:5" x14ac:dyDescent="0.3">
      <c r="B37" s="4"/>
      <c r="C37" s="4"/>
      <c r="D37" s="4"/>
      <c r="E37" s="4"/>
    </row>
    <row r="38" spans="2:5" x14ac:dyDescent="0.3">
      <c r="B38" s="4"/>
      <c r="C38" s="4"/>
      <c r="D38" s="4"/>
      <c r="E38" s="4"/>
    </row>
    <row r="40" spans="2:5" x14ac:dyDescent="0.3">
      <c r="B40" s="7" t="s">
        <v>35</v>
      </c>
      <c r="C40" s="8"/>
      <c r="D40" s="8"/>
      <c r="E40" s="8"/>
    </row>
    <row r="41" spans="2:5" x14ac:dyDescent="0.3">
      <c r="B41" s="8"/>
      <c r="C41" s="8"/>
      <c r="D41" s="8"/>
      <c r="E41" s="8"/>
    </row>
    <row r="42" spans="2:5" x14ac:dyDescent="0.3">
      <c r="B42" s="8"/>
      <c r="C42" s="8"/>
      <c r="D42" s="8"/>
      <c r="E42" s="8"/>
    </row>
    <row r="43" spans="2:5" x14ac:dyDescent="0.3">
      <c r="B43" s="8"/>
      <c r="C43" s="8"/>
      <c r="D43" s="8"/>
      <c r="E43" s="8"/>
    </row>
    <row r="44" spans="2:5" x14ac:dyDescent="0.3">
      <c r="B44" s="8"/>
      <c r="C44" s="8"/>
      <c r="D44" s="8"/>
      <c r="E44" s="8"/>
    </row>
    <row r="45" spans="2:5" x14ac:dyDescent="0.3">
      <c r="B45" s="8"/>
      <c r="C45" s="8"/>
      <c r="D45" s="8"/>
      <c r="E45" s="8"/>
    </row>
    <row r="46" spans="2:5" x14ac:dyDescent="0.3">
      <c r="B46" s="8"/>
      <c r="C46" s="8"/>
      <c r="D46" s="8"/>
      <c r="E46" s="8"/>
    </row>
    <row r="47" spans="2:5" x14ac:dyDescent="0.3">
      <c r="B47" s="8"/>
      <c r="C47" s="8"/>
      <c r="D47" s="8"/>
      <c r="E47" s="8"/>
    </row>
    <row r="48" spans="2:5" x14ac:dyDescent="0.3">
      <c r="B48" s="8"/>
      <c r="C48" s="8"/>
      <c r="D48" s="8"/>
      <c r="E48" s="8"/>
    </row>
    <row r="49" spans="2:5" x14ac:dyDescent="0.3">
      <c r="B49" s="8"/>
      <c r="C49" s="8"/>
      <c r="D49" s="8"/>
      <c r="E49" s="8"/>
    </row>
  </sheetData>
  <mergeCells count="5">
    <mergeCell ref="B40:E49"/>
    <mergeCell ref="B15:E18"/>
    <mergeCell ref="B20:E24"/>
    <mergeCell ref="B26:E31"/>
    <mergeCell ref="B33:E3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Q1)</vt:lpstr>
      <vt:lpstr>Q2)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Sanjana .</cp:lastModifiedBy>
  <dcterms:created xsi:type="dcterms:W3CDTF">2025-07-12T12:49:50Z</dcterms:created>
  <dcterms:modified xsi:type="dcterms:W3CDTF">2025-07-14T15:16:01Z</dcterms:modified>
</cp:coreProperties>
</file>