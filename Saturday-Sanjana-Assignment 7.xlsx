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ju\Downloads\"/>
    </mc:Choice>
  </mc:AlternateContent>
  <xr:revisionPtr revIDLastSave="0" documentId="8_{74A98D28-4642-4CBD-B82A-C2B15A8D01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ignmen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3" l="1"/>
  <c r="AH4" i="3"/>
  <c r="AH5" i="3"/>
  <c r="AH6" i="3"/>
  <c r="AH7" i="3"/>
  <c r="AH8" i="3"/>
  <c r="AH9" i="3"/>
  <c r="AH2" i="3"/>
  <c r="AF3" i="3"/>
  <c r="AF4" i="3"/>
  <c r="AF5" i="3"/>
  <c r="AF6" i="3"/>
  <c r="AF7" i="3"/>
  <c r="AF8" i="3"/>
  <c r="AF9" i="3"/>
  <c r="AF2" i="3"/>
  <c r="AE3" i="3"/>
  <c r="AE4" i="3"/>
  <c r="AE5" i="3"/>
  <c r="AE6" i="3"/>
  <c r="AE7" i="3"/>
  <c r="AE8" i="3"/>
  <c r="AE9" i="3"/>
  <c r="AE2" i="3"/>
  <c r="AD3" i="3"/>
  <c r="AD4" i="3"/>
  <c r="AD5" i="3"/>
  <c r="AD6" i="3"/>
  <c r="AD7" i="3"/>
  <c r="AD8" i="3"/>
  <c r="AD9" i="3"/>
  <c r="AD2" i="3"/>
  <c r="AC3" i="3"/>
  <c r="AC4" i="3"/>
  <c r="AC5" i="3"/>
  <c r="AC6" i="3"/>
  <c r="AC7" i="3"/>
  <c r="AC8" i="3"/>
  <c r="AC9" i="3"/>
  <c r="AC2" i="3"/>
  <c r="AB3" i="3"/>
  <c r="AB4" i="3"/>
  <c r="AB5" i="3"/>
  <c r="AB6" i="3"/>
  <c r="AB7" i="3"/>
  <c r="AB8" i="3"/>
  <c r="AB9" i="3"/>
  <c r="AB2" i="3"/>
  <c r="AA3" i="3"/>
  <c r="AA4" i="3"/>
  <c r="AA5" i="3"/>
  <c r="AA6" i="3"/>
  <c r="AA7" i="3"/>
  <c r="AA8" i="3"/>
  <c r="AA9" i="3"/>
  <c r="AA2" i="3"/>
  <c r="Z3" i="3"/>
  <c r="Z4" i="3"/>
  <c r="Z5" i="3"/>
  <c r="Z6" i="3"/>
  <c r="Z7" i="3"/>
  <c r="Z8" i="3"/>
  <c r="Z9" i="3"/>
  <c r="Z2" i="3"/>
  <c r="Y2" i="3"/>
  <c r="X3" i="3"/>
  <c r="X4" i="3"/>
  <c r="X5" i="3"/>
  <c r="X6" i="3"/>
  <c r="X7" i="3"/>
  <c r="X8" i="3"/>
  <c r="X9" i="3"/>
  <c r="X2" i="3"/>
  <c r="U3" i="3"/>
  <c r="U4" i="3"/>
  <c r="U5" i="3"/>
  <c r="U6" i="3"/>
  <c r="U7" i="3"/>
  <c r="U8" i="3"/>
  <c r="U9" i="3"/>
  <c r="U2" i="3"/>
  <c r="T3" i="3"/>
  <c r="T4" i="3"/>
  <c r="T5" i="3"/>
  <c r="T6" i="3"/>
  <c r="T7" i="3"/>
  <c r="T8" i="3"/>
  <c r="T9" i="3"/>
  <c r="T2" i="3"/>
  <c r="S3" i="3"/>
  <c r="S4" i="3"/>
  <c r="S5" i="3"/>
  <c r="S6" i="3"/>
  <c r="S7" i="3"/>
  <c r="S8" i="3"/>
  <c r="S9" i="3"/>
  <c r="S2" i="3"/>
  <c r="R3" i="3"/>
  <c r="R4" i="3"/>
  <c r="R5" i="3"/>
  <c r="R6" i="3"/>
  <c r="R7" i="3"/>
  <c r="R8" i="3"/>
  <c r="R9" i="3"/>
  <c r="R2" i="3"/>
  <c r="Q3" i="3"/>
  <c r="Q4" i="3"/>
  <c r="Q5" i="3"/>
  <c r="Q6" i="3"/>
  <c r="Q7" i="3"/>
  <c r="Q8" i="3"/>
  <c r="Q9" i="3"/>
  <c r="Q2" i="3"/>
  <c r="P3" i="3"/>
  <c r="P4" i="3"/>
  <c r="P5" i="3"/>
  <c r="P6" i="3"/>
  <c r="P7" i="3"/>
  <c r="P8" i="3"/>
  <c r="P9" i="3"/>
  <c r="P2" i="3"/>
  <c r="O3" i="3"/>
  <c r="O4" i="3"/>
  <c r="O5" i="3"/>
  <c r="O6" i="3"/>
  <c r="O7" i="3"/>
  <c r="O8" i="3"/>
  <c r="O9" i="3"/>
  <c r="O2" i="3"/>
  <c r="N3" i="3"/>
  <c r="N4" i="3"/>
  <c r="N5" i="3"/>
  <c r="N6" i="3"/>
  <c r="N7" i="3"/>
  <c r="N8" i="3"/>
  <c r="N9" i="3"/>
  <c r="N2" i="3"/>
  <c r="M3" i="3"/>
  <c r="M4" i="3"/>
  <c r="M5" i="3"/>
  <c r="M6" i="3"/>
  <c r="M7" i="3"/>
  <c r="M8" i="3"/>
  <c r="M9" i="3"/>
  <c r="M2" i="3"/>
  <c r="L3" i="3"/>
  <c r="L4" i="3"/>
  <c r="L5" i="3"/>
  <c r="L6" i="3"/>
  <c r="L7" i="3"/>
  <c r="L8" i="3"/>
  <c r="L9" i="3"/>
  <c r="L2" i="3"/>
  <c r="K3" i="3"/>
  <c r="K4" i="3"/>
  <c r="K5" i="3"/>
  <c r="K6" i="3"/>
  <c r="K7" i="3"/>
  <c r="K8" i="3"/>
  <c r="K9" i="3"/>
  <c r="K2" i="3"/>
  <c r="J3" i="3"/>
  <c r="J4" i="3"/>
  <c r="J5" i="3"/>
  <c r="J6" i="3"/>
  <c r="J7" i="3"/>
  <c r="J8" i="3"/>
  <c r="J9" i="3"/>
  <c r="J2" i="3"/>
  <c r="I3" i="3"/>
  <c r="I4" i="3"/>
  <c r="I5" i="3"/>
  <c r="I6" i="3"/>
  <c r="I7" i="3"/>
  <c r="I8" i="3"/>
  <c r="I9" i="3"/>
  <c r="I2" i="3"/>
</calcChain>
</file>

<file path=xl/sharedStrings.xml><?xml version="1.0" encoding="utf-8"?>
<sst xmlns="http://schemas.openxmlformats.org/spreadsheetml/2006/main" count="116" uniqueCount="113">
  <si>
    <t>ID</t>
  </si>
  <si>
    <t>Full Name</t>
  </si>
  <si>
    <t>First Name</t>
  </si>
  <si>
    <t>Last Name</t>
  </si>
  <si>
    <t>Email</t>
  </si>
  <si>
    <t>Department</t>
  </si>
  <si>
    <t>Salary</t>
  </si>
  <si>
    <t>Remarks</t>
  </si>
  <si>
    <t>Ramesh Kumar Sharma</t>
  </si>
  <si>
    <t>Ramesh</t>
  </si>
  <si>
    <t>Sharma</t>
  </si>
  <si>
    <t>ramesh.sharma@abc.com</t>
  </si>
  <si>
    <t>Finance</t>
  </si>
  <si>
    <t>Meena Gupta</t>
  </si>
  <si>
    <t>Meena</t>
  </si>
  <si>
    <t>Gupta</t>
  </si>
  <si>
    <t>meena.gupta@xyz.org</t>
  </si>
  <si>
    <t>HR</t>
  </si>
  <si>
    <t>Aarav Verma</t>
  </si>
  <si>
    <t>Aarav</t>
  </si>
  <si>
    <t>Verma</t>
  </si>
  <si>
    <t>aarav.verma@school.edu</t>
  </si>
  <si>
    <t>IT</t>
  </si>
  <si>
    <t>Priya Singh</t>
  </si>
  <si>
    <t>Priya</t>
  </si>
  <si>
    <t>Singh</t>
  </si>
  <si>
    <t>priya.singh@abc.com</t>
  </si>
  <si>
    <t>Marketing</t>
  </si>
  <si>
    <t>Karan Mehta</t>
  </si>
  <si>
    <t>Karan</t>
  </si>
  <si>
    <t>Mehta</t>
  </si>
  <si>
    <t>karanmehta@company.in</t>
  </si>
  <si>
    <t>Sales</t>
  </si>
  <si>
    <t>Sneha Kapoor</t>
  </si>
  <si>
    <t>Sneha</t>
  </si>
  <si>
    <t>Kapoor</t>
  </si>
  <si>
    <t>sneha.kapoor@xyz.org</t>
  </si>
  <si>
    <t>Mohit Jain</t>
  </si>
  <si>
    <t>Mohit</t>
  </si>
  <si>
    <t>Jain</t>
  </si>
  <si>
    <t>mohit.jain@school.edu</t>
  </si>
  <si>
    <t>Neha Bansal</t>
  </si>
  <si>
    <t>Neha</t>
  </si>
  <si>
    <t>Bansal</t>
  </si>
  <si>
    <t>neha.bansal@abc.com</t>
  </si>
  <si>
    <t>Part A: Basic Functions</t>
  </si>
  <si>
    <t>6. Convert all Last Names into UPPERCASE.</t>
  </si>
  <si>
    <t>7. Convert all First Names into lowercase.</t>
  </si>
  <si>
    <t>8. Convert the Remarks column into Proper Case.</t>
  </si>
  <si>
    <t>Part B: Text Joining</t>
  </si>
  <si>
    <t>9. Combine First Name and Last Name into one cell using CONCAT.</t>
  </si>
  <si>
    <t>10. Join First Name, Last Name, and Department with a dash (-) using TEXTJOIN.</t>
  </si>
  <si>
    <t>11. Combine First Name and Email in the format: FirstName (Email) using &amp; operator.</t>
  </si>
  <si>
    <t>Part C: Finding &amp; Replacing</t>
  </si>
  <si>
    <t>12. Find the position of '@' in the Email column using FIND.</t>
  </si>
  <si>
    <t>13. Find the position of '.com' or '.org' in the Email using SEARCH.</t>
  </si>
  <si>
    <t>Part D: Formatting &amp; Conversion</t>
  </si>
  <si>
    <t>Part E: Real-Life Applications</t>
  </si>
  <si>
    <t>18. From Email, extract only the username (before @).</t>
  </si>
  <si>
    <t>19. From Email, extract the domain name (after @).</t>
  </si>
  <si>
    <t>20. Standardize Remarks so that they are neatly formatted using TRIM + PROPER.</t>
  </si>
  <si>
    <t>21. Create a full employee label in the format: FirstName LastName works in Department.</t>
  </si>
  <si>
    <t>22. Replace all occurrences of 'abc.com' in Email with 'newabc.com' using SUBSTITUTE.</t>
  </si>
  <si>
    <t>Part F: Name Separation (Complex)</t>
  </si>
  <si>
    <t>Q1</t>
  </si>
  <si>
    <t>Q2</t>
  </si>
  <si>
    <t>Q3</t>
  </si>
  <si>
    <t>Q4</t>
  </si>
  <si>
    <t>Q5</t>
  </si>
  <si>
    <t>Q15</t>
  </si>
  <si>
    <t>Excellent performer</t>
  </si>
  <si>
    <t>Needs Improvement</t>
  </si>
  <si>
    <t>Q6</t>
  </si>
  <si>
    <t>Very punctual</t>
  </si>
  <si>
    <t>Hardworking</t>
  </si>
  <si>
    <t>Extra spaces</t>
  </si>
  <si>
    <t>quick learner</t>
  </si>
  <si>
    <t>Great Team Player</t>
  </si>
  <si>
    <t>consistent efforts</t>
  </si>
  <si>
    <t>Q7</t>
  </si>
  <si>
    <t>Q8</t>
  </si>
  <si>
    <t>Q9</t>
  </si>
  <si>
    <t>Q10</t>
  </si>
  <si>
    <t>Q11</t>
  </si>
  <si>
    <t>Q12</t>
  </si>
  <si>
    <t>Q13</t>
  </si>
  <si>
    <t>Q14</t>
  </si>
  <si>
    <t>23. Extract First Name from Full Name (before first space).</t>
  </si>
  <si>
    <t>24. Extract Last Name from Full Name (after last space).</t>
  </si>
  <si>
    <t>25. Extract Middle Name (if present) from Full Name.</t>
  </si>
  <si>
    <t>26. Standardize Full Name so that all names are Proper Case.</t>
  </si>
  <si>
    <t>27. Create Initials column (e.g., Ramesh Kumar Sharma → RKS).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</si>
  <si>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</si>
  <si>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</si>
  <si>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</si>
  <si>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</si>
  <si>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</si>
  <si>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</si>
  <si>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</si>
  <si>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</si>
  <si>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</si>
  <si>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</si>
  <si>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</si>
  <si>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</si>
  <si>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1. Extract the first 3 letters of each First Name.</t>
  </si>
  <si>
    <t>2. Extract the last 4 letters of each Last Name.</t>
  </si>
  <si>
    <t>3. From Department, extract the 2nd to 5th character.</t>
  </si>
  <si>
    <t>4. Find the total length of each Email.</t>
  </si>
  <si>
    <t>5. Clean extra spaces in the Remarks column.</t>
  </si>
  <si>
    <t>14. Replace the word 'Improvement' with 'Support' in the Remarks.</t>
  </si>
  <si>
    <t>15. Replace the first 3 characters of each Department with 'XYZ' .</t>
  </si>
  <si>
    <t>16. Format the Salary column as ₹#,##0.00.</t>
  </si>
  <si>
    <t>17. Convert the text '12345' into a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</si>
</sst>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1" applyBorder="1" applyAlignment="1">
      <alignment vertic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2C56EB1B-3421-4CA7-8B02-8BB7E0437F4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eha.bansal@abc.com" TargetMode="External"/><Relationship Id="rId3" Type="http://schemas.openxmlformats.org/officeDocument/2006/relationships/hyperlink" Target="mailto:aarav.verma@school.edu" TargetMode="External"/><Relationship Id="rId7" Type="http://schemas.openxmlformats.org/officeDocument/2006/relationships/hyperlink" Target="mailto:mohit.jain@school.edu" TargetMode="External"/><Relationship Id="rId2" Type="http://schemas.openxmlformats.org/officeDocument/2006/relationships/hyperlink" Target="mailto:meena.gupta@xyz.org" TargetMode="External"/><Relationship Id="rId1" Type="http://schemas.openxmlformats.org/officeDocument/2006/relationships/hyperlink" Target="mailto:ramesh.sharma@abc.com" TargetMode="External"/><Relationship Id="rId6" Type="http://schemas.openxmlformats.org/officeDocument/2006/relationships/hyperlink" Target="mailto:sneha.kapoor@xyz.org" TargetMode="External"/><Relationship Id="rId5" Type="http://schemas.openxmlformats.org/officeDocument/2006/relationships/hyperlink" Target="mailto:karanmehta@company.in" TargetMode="External"/><Relationship Id="rId4" Type="http://schemas.openxmlformats.org/officeDocument/2006/relationships/hyperlink" Target="mailto:priya.singh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3AA64-6AD4-4F2C-B36F-0821AD010896}">
  <dimension ref="A1:AI52"/>
  <sheetViews>
    <sheetView tabSelected="1" workbookViewId="0">
      <selection activeCell="M49" sqref="M49"/>
    </sheetView>
  </sheetViews>
  <sheetFormatPr defaultRowHeight="14.4" x14ac:dyDescent="0.3"/>
  <cols>
    <col min="1" max="1" width="2.77734375" bestFit="1" customWidth="1"/>
    <col min="2" max="2" width="19.88671875" bestFit="1" customWidth="1"/>
    <col min="3" max="3" width="9.88671875" bestFit="1" customWidth="1"/>
    <col min="4" max="4" width="9.77734375" bestFit="1" customWidth="1"/>
    <col min="5" max="5" width="22.6640625" bestFit="1" customWidth="1"/>
    <col min="6" max="6" width="11.109375" bestFit="1" customWidth="1"/>
    <col min="7" max="7" width="9" bestFit="1" customWidth="1"/>
    <col min="8" max="8" width="17.77734375" bestFit="1" customWidth="1"/>
    <col min="11" max="11" width="5.77734375" customWidth="1"/>
    <col min="12" max="12" width="6" customWidth="1"/>
    <col min="13" max="13" width="17.33203125" bestFit="1" customWidth="1"/>
    <col min="16" max="16" width="17.77734375" bestFit="1" customWidth="1"/>
    <col min="17" max="17" width="14.109375" bestFit="1" customWidth="1"/>
    <col min="18" max="18" width="21.44140625" bestFit="1" customWidth="1"/>
    <col min="19" max="19" width="29.88671875" customWidth="1"/>
    <col min="20" max="20" width="6.88671875" customWidth="1"/>
    <col min="24" max="24" width="10" bestFit="1" customWidth="1"/>
    <col min="26" max="26" width="13.6640625" bestFit="1" customWidth="1"/>
    <col min="28" max="28" width="17.77734375" bestFit="1" customWidth="1"/>
    <col min="29" max="29" width="28.33203125" bestFit="1" customWidth="1"/>
    <col min="30" max="30" width="26.21875" bestFit="1" customWidth="1"/>
    <col min="31" max="31" width="7.44140625" bestFit="1" customWidth="1"/>
    <col min="32" max="32" width="12.77734375" bestFit="1" customWidth="1"/>
    <col min="34" max="34" width="19.8867187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72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69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</row>
    <row r="2" spans="1:35" x14ac:dyDescent="0.3">
      <c r="A2" s="2">
        <v>1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>
        <v>45800.5</v>
      </c>
      <c r="H2" s="2" t="s">
        <v>70</v>
      </c>
      <c r="I2" s="2" t="str">
        <f>LEFT(C2,3)</f>
        <v>Ram</v>
      </c>
      <c r="J2" s="2" t="str">
        <f>RIGHT(D2,4)</f>
        <v>arma</v>
      </c>
      <c r="K2" s="2" t="str">
        <f>MID(F2,2,4)</f>
        <v>inan</v>
      </c>
      <c r="L2" s="2">
        <f>LEN(E2)</f>
        <v>21</v>
      </c>
      <c r="M2" s="2" t="str">
        <f>TRIM(H2)</f>
        <v>Excellent performer</v>
      </c>
      <c r="N2" s="2" t="str">
        <f>UPPER(D2)</f>
        <v>SHARMA</v>
      </c>
      <c r="O2" s="2" t="str">
        <f>LOWER(C2)</f>
        <v>ramesh</v>
      </c>
      <c r="P2" s="2" t="str">
        <f>PROPER(H2)</f>
        <v>Excellent Performer</v>
      </c>
      <c r="Q2" s="4" t="str">
        <f>_xlfn.CONCAT(C2," ",D2)</f>
        <v>Ramesh Sharma</v>
      </c>
      <c r="R2" s="4" t="str">
        <f>_xlfn.TEXTJOIN("-",TRUE,C2,D2,F2)</f>
        <v>Ramesh-Sharma-Finance</v>
      </c>
      <c r="S2" s="4" t="str">
        <f>C2 &amp; " (" &amp; E2 &amp; ")"</f>
        <v>Ramesh (ramesh.sharma@abc.com)</v>
      </c>
      <c r="T2" s="4">
        <f>FIND("@",E2)</f>
        <v>14</v>
      </c>
      <c r="U2" s="4">
        <f>IFERROR(SEARCH(".com",E2), SEARCH(".org",E2))</f>
        <v>18</v>
      </c>
      <c r="V2" s="4"/>
      <c r="W2" s="4"/>
      <c r="X2" s="4" t="str">
        <f>TEXT(G2,"₹#,##0.00")</f>
        <v>₹45,800.50</v>
      </c>
      <c r="Y2" s="4">
        <f>VALUE("12345")</f>
        <v>12345</v>
      </c>
      <c r="Z2" s="4" t="str">
        <f>LEFT(E2,SEARCH("@",E2)-1)</f>
        <v>ramesh.sharma</v>
      </c>
      <c r="AA2" s="4" t="str">
        <f>RIGHT(E2,LEN(E2)-SEARCH("@",E2))</f>
        <v>abc.com</v>
      </c>
      <c r="AB2" s="4" t="str">
        <f>PROPER(TRIM(H2))</f>
        <v>Excellent Performer</v>
      </c>
      <c r="AC2" s="4" t="str">
        <f>_xlfn.TEXTJOIN(" ",TRUE,C2,D2,"works in",F2)</f>
        <v>Ramesh Sharma works in Finance</v>
      </c>
      <c r="AD2" s="4" t="str">
        <f>SUBSTITUTE(E2,"abc.com","newabc.com")</f>
        <v>ramesh.sharma@newabc.com</v>
      </c>
      <c r="AE2" s="4" t="str">
        <f>LEFT(B2,SEARCH(" ",B2)-1)</f>
        <v>Ramesh</v>
      </c>
      <c r="AF2" s="4" t="str">
        <f>RIGHT(B2,LEN(B2)-SEARCH(" ",B2))</f>
        <v>Kumar Sharma</v>
      </c>
      <c r="AG2" s="4"/>
      <c r="AH2" s="4" t="str">
        <f>PROPER(TRIM(B2))</f>
        <v>Ramesh Kumar Sharma</v>
      </c>
      <c r="AI2" s="4"/>
    </row>
    <row r="3" spans="1:35" x14ac:dyDescent="0.3">
      <c r="A3" s="2">
        <v>2</v>
      </c>
      <c r="B3" s="2" t="s">
        <v>13</v>
      </c>
      <c r="C3" s="2" t="s">
        <v>14</v>
      </c>
      <c r="D3" s="2" t="s">
        <v>15</v>
      </c>
      <c r="E3" s="3" t="s">
        <v>16</v>
      </c>
      <c r="F3" s="2" t="s">
        <v>17</v>
      </c>
      <c r="G3" s="2">
        <v>50200</v>
      </c>
      <c r="H3" s="2" t="s">
        <v>71</v>
      </c>
      <c r="I3" s="2" t="str">
        <f t="shared" ref="I3:I9" si="0">LEFT(C3,3)</f>
        <v>Mee</v>
      </c>
      <c r="J3" s="2" t="str">
        <f t="shared" ref="J3:J9" si="1">RIGHT(D3,4)</f>
        <v>upta</v>
      </c>
      <c r="K3" s="2" t="str">
        <f t="shared" ref="K3:K9" si="2">MID(F3,2,4)</f>
        <v>R</v>
      </c>
      <c r="L3" s="2">
        <f t="shared" ref="L3:L9" si="3">LEN(E3)</f>
        <v>19</v>
      </c>
      <c r="M3" s="2" t="str">
        <f t="shared" ref="M3:M9" si="4">TRIM(H3)</f>
        <v>Needs Improvement</v>
      </c>
      <c r="N3" s="2" t="str">
        <f t="shared" ref="N3:N9" si="5">UPPER(D3)</f>
        <v>GUPTA</v>
      </c>
      <c r="O3" s="2" t="str">
        <f t="shared" ref="O3:O9" si="6">LOWER(C3)</f>
        <v>meena</v>
      </c>
      <c r="P3" s="2" t="str">
        <f t="shared" ref="P3:P9" si="7">PROPER(H3)</f>
        <v>Needs Improvement</v>
      </c>
      <c r="Q3" s="4" t="str">
        <f t="shared" ref="Q3:Q9" si="8">_xlfn.CONCAT(C3," ",D3)</f>
        <v>Meena Gupta</v>
      </c>
      <c r="R3" s="4" t="str">
        <f t="shared" ref="R3:R9" si="9">_xlfn.TEXTJOIN("-",TRUE,C3,D3,F3)</f>
        <v>Meena-Gupta-HR</v>
      </c>
      <c r="S3" s="4" t="str">
        <f t="shared" ref="S3:S9" si="10">C3 &amp; " (" &amp; E3 &amp; ")"</f>
        <v>Meena (meena.gupta@xyz.org)</v>
      </c>
      <c r="T3" s="4">
        <f t="shared" ref="T3:T9" si="11">FIND("@",E3)</f>
        <v>12</v>
      </c>
      <c r="U3" s="4">
        <f t="shared" ref="U3:U9" si="12">IFERROR(SEARCH(".com",E3), SEARCH(".org",E3))</f>
        <v>16</v>
      </c>
      <c r="V3" s="4"/>
      <c r="W3" s="4"/>
      <c r="X3" s="4" t="str">
        <f t="shared" ref="X3:X9" si="13">TEXT(G3,"₹#,##0.00")</f>
        <v>₹50,200.00</v>
      </c>
      <c r="Y3" s="4"/>
      <c r="Z3" s="4" t="str">
        <f t="shared" ref="Z3:Z9" si="14">LEFT(E3,SEARCH("@",E3)-1)</f>
        <v>meena.gupta</v>
      </c>
      <c r="AA3" s="4" t="str">
        <f t="shared" ref="AA3:AA9" si="15">RIGHT(E3,LEN(E3)-SEARCH("@",E3))</f>
        <v>xyz.org</v>
      </c>
      <c r="AB3" s="4" t="str">
        <f t="shared" ref="AB3:AB9" si="16">PROPER(TRIM(H3))</f>
        <v>Needs Improvement</v>
      </c>
      <c r="AC3" s="4" t="str">
        <f t="shared" ref="AC3:AC9" si="17">_xlfn.TEXTJOIN(" ",TRUE,C3,D3,"works in",F3)</f>
        <v>Meena Gupta works in HR</v>
      </c>
      <c r="AD3" s="4" t="str">
        <f t="shared" ref="AD3:AD9" si="18">SUBSTITUTE(E3,"abc.com","newabc.com")</f>
        <v>meena.gupta@xyz.org</v>
      </c>
      <c r="AE3" s="4" t="str">
        <f t="shared" ref="AE3:AE9" si="19">LEFT(B3,SEARCH(" ",B3)-1)</f>
        <v>Meena</v>
      </c>
      <c r="AF3" s="4" t="str">
        <f t="shared" ref="AF3:AF9" si="20">RIGHT(B3,LEN(B3)-SEARCH(" ",B3))</f>
        <v>Gupta</v>
      </c>
      <c r="AG3" s="4"/>
      <c r="AH3" s="4" t="str">
        <f t="shared" ref="AH3:AH9" si="21">PROPER(TRIM(B3))</f>
        <v>Meena Gupta</v>
      </c>
      <c r="AI3" s="4"/>
    </row>
    <row r="4" spans="1:35" x14ac:dyDescent="0.3">
      <c r="A4" s="2">
        <v>3</v>
      </c>
      <c r="B4" s="2" t="s">
        <v>18</v>
      </c>
      <c r="C4" s="2" t="s">
        <v>19</v>
      </c>
      <c r="D4" s="2" t="s">
        <v>20</v>
      </c>
      <c r="E4" s="3" t="s">
        <v>21</v>
      </c>
      <c r="F4" s="2" t="s">
        <v>22</v>
      </c>
      <c r="G4" s="2">
        <v>39000.75</v>
      </c>
      <c r="H4" s="2" t="s">
        <v>73</v>
      </c>
      <c r="I4" s="2" t="str">
        <f t="shared" si="0"/>
        <v>Aar</v>
      </c>
      <c r="J4" s="2" t="str">
        <f t="shared" si="1"/>
        <v>erma</v>
      </c>
      <c r="K4" s="2" t="str">
        <f t="shared" si="2"/>
        <v>T</v>
      </c>
      <c r="L4" s="2">
        <f t="shared" si="3"/>
        <v>22</v>
      </c>
      <c r="M4" s="2" t="str">
        <f t="shared" si="4"/>
        <v>Very punctual</v>
      </c>
      <c r="N4" s="2" t="str">
        <f t="shared" si="5"/>
        <v>VERMA</v>
      </c>
      <c r="O4" s="2" t="str">
        <f t="shared" si="6"/>
        <v>aarav</v>
      </c>
      <c r="P4" s="2" t="str">
        <f t="shared" si="7"/>
        <v>Very Punctual</v>
      </c>
      <c r="Q4" s="4" t="str">
        <f t="shared" si="8"/>
        <v>Aarav Verma</v>
      </c>
      <c r="R4" s="4" t="str">
        <f t="shared" si="9"/>
        <v>Aarav-Verma-IT</v>
      </c>
      <c r="S4" s="4" t="str">
        <f t="shared" si="10"/>
        <v>Aarav (aarav.verma@school.edu)</v>
      </c>
      <c r="T4" s="4">
        <f t="shared" si="11"/>
        <v>12</v>
      </c>
      <c r="U4" s="4" t="e">
        <f t="shared" si="12"/>
        <v>#VALUE!</v>
      </c>
      <c r="V4" s="4"/>
      <c r="W4" s="4"/>
      <c r="X4" s="4" t="str">
        <f t="shared" si="13"/>
        <v>₹39,000.75</v>
      </c>
      <c r="Y4" s="4"/>
      <c r="Z4" s="4" t="str">
        <f t="shared" si="14"/>
        <v>aarav.verma</v>
      </c>
      <c r="AA4" s="4" t="str">
        <f t="shared" si="15"/>
        <v>school.edu</v>
      </c>
      <c r="AB4" s="4" t="str">
        <f t="shared" si="16"/>
        <v>Very Punctual</v>
      </c>
      <c r="AC4" s="4" t="str">
        <f t="shared" si="17"/>
        <v>Aarav Verma works in IT</v>
      </c>
      <c r="AD4" s="4" t="str">
        <f t="shared" si="18"/>
        <v>aarav.verma@school.edu</v>
      </c>
      <c r="AE4" s="4" t="str">
        <f t="shared" si="19"/>
        <v>Aarav</v>
      </c>
      <c r="AF4" s="4" t="str">
        <f t="shared" si="20"/>
        <v>Verma</v>
      </c>
      <c r="AG4" s="4"/>
      <c r="AH4" s="4" t="str">
        <f t="shared" si="21"/>
        <v>Aarav Verma</v>
      </c>
      <c r="AI4" s="4"/>
    </row>
    <row r="5" spans="1:35" x14ac:dyDescent="0.3">
      <c r="A5" s="2">
        <v>4</v>
      </c>
      <c r="B5" s="2" t="s">
        <v>23</v>
      </c>
      <c r="C5" s="2" t="s">
        <v>24</v>
      </c>
      <c r="D5" s="2" t="s">
        <v>25</v>
      </c>
      <c r="E5" s="3" t="s">
        <v>26</v>
      </c>
      <c r="F5" s="2" t="s">
        <v>27</v>
      </c>
      <c r="G5" s="2">
        <v>61000</v>
      </c>
      <c r="H5" s="2" t="s">
        <v>74</v>
      </c>
      <c r="I5" s="2" t="str">
        <f t="shared" si="0"/>
        <v>Pri</v>
      </c>
      <c r="J5" s="2" t="str">
        <f t="shared" si="1"/>
        <v>ingh</v>
      </c>
      <c r="K5" s="2" t="str">
        <f t="shared" si="2"/>
        <v>arke</v>
      </c>
      <c r="L5" s="2">
        <f t="shared" si="3"/>
        <v>19</v>
      </c>
      <c r="M5" s="2" t="str">
        <f t="shared" si="4"/>
        <v>Hardworking</v>
      </c>
      <c r="N5" s="2" t="str">
        <f t="shared" si="5"/>
        <v>SINGH</v>
      </c>
      <c r="O5" s="2" t="str">
        <f t="shared" si="6"/>
        <v>priya</v>
      </c>
      <c r="P5" s="2" t="str">
        <f t="shared" si="7"/>
        <v>Hardworking</v>
      </c>
      <c r="Q5" s="4" t="str">
        <f t="shared" si="8"/>
        <v>Priya Singh</v>
      </c>
      <c r="R5" s="4" t="str">
        <f t="shared" si="9"/>
        <v>Priya-Singh-Marketing</v>
      </c>
      <c r="S5" s="4" t="str">
        <f t="shared" si="10"/>
        <v>Priya (priya.singh@abc.com)</v>
      </c>
      <c r="T5" s="4">
        <f t="shared" si="11"/>
        <v>12</v>
      </c>
      <c r="U5" s="4">
        <f t="shared" si="12"/>
        <v>16</v>
      </c>
      <c r="V5" s="4"/>
      <c r="W5" s="4"/>
      <c r="X5" s="4" t="str">
        <f t="shared" si="13"/>
        <v>₹61,000.00</v>
      </c>
      <c r="Y5" s="4"/>
      <c r="Z5" s="4" t="str">
        <f t="shared" si="14"/>
        <v>priya.singh</v>
      </c>
      <c r="AA5" s="4" t="str">
        <f t="shared" si="15"/>
        <v>abc.com</v>
      </c>
      <c r="AB5" s="4" t="str">
        <f t="shared" si="16"/>
        <v>Hardworking</v>
      </c>
      <c r="AC5" s="4" t="str">
        <f t="shared" si="17"/>
        <v>Priya Singh works in Marketing</v>
      </c>
      <c r="AD5" s="4" t="str">
        <f t="shared" si="18"/>
        <v>priya.singh@newabc.com</v>
      </c>
      <c r="AE5" s="4" t="str">
        <f t="shared" si="19"/>
        <v>Priya</v>
      </c>
      <c r="AF5" s="4" t="str">
        <f t="shared" si="20"/>
        <v>Singh</v>
      </c>
      <c r="AG5" s="4"/>
      <c r="AH5" s="4" t="str">
        <f t="shared" si="21"/>
        <v>Priya Singh</v>
      </c>
      <c r="AI5" s="4"/>
    </row>
    <row r="6" spans="1:35" x14ac:dyDescent="0.3">
      <c r="A6" s="2">
        <v>5</v>
      </c>
      <c r="B6" s="2" t="s">
        <v>28</v>
      </c>
      <c r="C6" s="2" t="s">
        <v>29</v>
      </c>
      <c r="D6" s="2" t="s">
        <v>30</v>
      </c>
      <c r="E6" s="3" t="s">
        <v>31</v>
      </c>
      <c r="F6" s="2" t="s">
        <v>32</v>
      </c>
      <c r="G6" s="2">
        <v>47890.25</v>
      </c>
      <c r="H6" s="2" t="s">
        <v>75</v>
      </c>
      <c r="I6" s="2" t="str">
        <f t="shared" si="0"/>
        <v>Kar</v>
      </c>
      <c r="J6" s="2" t="str">
        <f t="shared" si="1"/>
        <v>ehta</v>
      </c>
      <c r="K6" s="2" t="str">
        <f t="shared" si="2"/>
        <v>ales</v>
      </c>
      <c r="L6" s="2">
        <f t="shared" si="3"/>
        <v>21</v>
      </c>
      <c r="M6" s="2" t="str">
        <f t="shared" si="4"/>
        <v>Extra spaces</v>
      </c>
      <c r="N6" s="2" t="str">
        <f t="shared" si="5"/>
        <v>MEHTA</v>
      </c>
      <c r="O6" s="2" t="str">
        <f t="shared" si="6"/>
        <v>karan</v>
      </c>
      <c r="P6" s="2" t="str">
        <f t="shared" si="7"/>
        <v>Extra Spaces</v>
      </c>
      <c r="Q6" s="4" t="str">
        <f t="shared" si="8"/>
        <v>Karan Mehta</v>
      </c>
      <c r="R6" s="4" t="str">
        <f t="shared" si="9"/>
        <v>Karan-Mehta-Sales</v>
      </c>
      <c r="S6" s="4" t="str">
        <f t="shared" si="10"/>
        <v>Karan (karanmehta@company.in)</v>
      </c>
      <c r="T6" s="4">
        <f t="shared" si="11"/>
        <v>11</v>
      </c>
      <c r="U6" s="4" t="e">
        <f t="shared" si="12"/>
        <v>#VALUE!</v>
      </c>
      <c r="V6" s="4"/>
      <c r="W6" s="4"/>
      <c r="X6" s="4" t="str">
        <f t="shared" si="13"/>
        <v>₹47,890.25</v>
      </c>
      <c r="Y6" s="4"/>
      <c r="Z6" s="4" t="str">
        <f t="shared" si="14"/>
        <v>karanmehta</v>
      </c>
      <c r="AA6" s="4" t="str">
        <f t="shared" si="15"/>
        <v>company.in</v>
      </c>
      <c r="AB6" s="4" t="str">
        <f t="shared" si="16"/>
        <v>Extra Spaces</v>
      </c>
      <c r="AC6" s="4" t="str">
        <f t="shared" si="17"/>
        <v>Karan Mehta works in Sales</v>
      </c>
      <c r="AD6" s="4" t="str">
        <f t="shared" si="18"/>
        <v>karanmehta@company.in</v>
      </c>
      <c r="AE6" s="4" t="str">
        <f t="shared" si="19"/>
        <v>Karan</v>
      </c>
      <c r="AF6" s="4" t="str">
        <f t="shared" si="20"/>
        <v>Mehta</v>
      </c>
      <c r="AG6" s="4"/>
      <c r="AH6" s="4" t="str">
        <f t="shared" si="21"/>
        <v>Karan Mehta</v>
      </c>
      <c r="AI6" s="4"/>
    </row>
    <row r="7" spans="1:35" x14ac:dyDescent="0.3">
      <c r="A7" s="2">
        <v>6</v>
      </c>
      <c r="B7" s="2" t="s">
        <v>33</v>
      </c>
      <c r="C7" s="2" t="s">
        <v>34</v>
      </c>
      <c r="D7" s="2" t="s">
        <v>35</v>
      </c>
      <c r="E7" s="3" t="s">
        <v>36</v>
      </c>
      <c r="F7" s="2" t="s">
        <v>17</v>
      </c>
      <c r="G7" s="2">
        <v>55000</v>
      </c>
      <c r="H7" s="2" t="s">
        <v>76</v>
      </c>
      <c r="I7" s="2" t="str">
        <f t="shared" si="0"/>
        <v>Sne</v>
      </c>
      <c r="J7" s="2" t="str">
        <f t="shared" si="1"/>
        <v>poor</v>
      </c>
      <c r="K7" s="2" t="str">
        <f t="shared" si="2"/>
        <v>R</v>
      </c>
      <c r="L7" s="2">
        <f t="shared" si="3"/>
        <v>20</v>
      </c>
      <c r="M7" s="2" t="str">
        <f t="shared" si="4"/>
        <v>quick learner</v>
      </c>
      <c r="N7" s="2" t="str">
        <f t="shared" si="5"/>
        <v>KAPOOR</v>
      </c>
      <c r="O7" s="2" t="str">
        <f t="shared" si="6"/>
        <v>sneha</v>
      </c>
      <c r="P7" s="2" t="str">
        <f t="shared" si="7"/>
        <v>Quick Learner</v>
      </c>
      <c r="Q7" s="4" t="str">
        <f t="shared" si="8"/>
        <v>Sneha Kapoor</v>
      </c>
      <c r="R7" s="4" t="str">
        <f t="shared" si="9"/>
        <v>Sneha-Kapoor-HR</v>
      </c>
      <c r="S7" s="4" t="str">
        <f t="shared" si="10"/>
        <v>Sneha (sneha.kapoor@xyz.org)</v>
      </c>
      <c r="T7" s="4">
        <f t="shared" si="11"/>
        <v>13</v>
      </c>
      <c r="U7" s="4">
        <f t="shared" si="12"/>
        <v>17</v>
      </c>
      <c r="V7" s="4"/>
      <c r="W7" s="4"/>
      <c r="X7" s="4" t="str">
        <f t="shared" si="13"/>
        <v>₹55,000.00</v>
      </c>
      <c r="Y7" s="4"/>
      <c r="Z7" s="4" t="str">
        <f t="shared" si="14"/>
        <v>sneha.kapoor</v>
      </c>
      <c r="AA7" s="4" t="str">
        <f t="shared" si="15"/>
        <v>xyz.org</v>
      </c>
      <c r="AB7" s="4" t="str">
        <f t="shared" si="16"/>
        <v>Quick Learner</v>
      </c>
      <c r="AC7" s="4" t="str">
        <f t="shared" si="17"/>
        <v>Sneha Kapoor works in HR</v>
      </c>
      <c r="AD7" s="4" t="str">
        <f t="shared" si="18"/>
        <v>sneha.kapoor@xyz.org</v>
      </c>
      <c r="AE7" s="4" t="str">
        <f t="shared" si="19"/>
        <v>Sneha</v>
      </c>
      <c r="AF7" s="4" t="str">
        <f t="shared" si="20"/>
        <v>Kapoor</v>
      </c>
      <c r="AG7" s="4"/>
      <c r="AH7" s="4" t="str">
        <f t="shared" si="21"/>
        <v>Sneha Kapoor</v>
      </c>
      <c r="AI7" s="4"/>
    </row>
    <row r="8" spans="1:35" x14ac:dyDescent="0.3">
      <c r="A8" s="2">
        <v>7</v>
      </c>
      <c r="B8" s="2" t="s">
        <v>37</v>
      </c>
      <c r="C8" s="2" t="s">
        <v>38</v>
      </c>
      <c r="D8" s="2" t="s">
        <v>39</v>
      </c>
      <c r="E8" s="3" t="s">
        <v>40</v>
      </c>
      <c r="F8" s="2" t="s">
        <v>12</v>
      </c>
      <c r="G8" s="2">
        <v>43210</v>
      </c>
      <c r="H8" s="2" t="s">
        <v>77</v>
      </c>
      <c r="I8" s="2" t="str">
        <f t="shared" si="0"/>
        <v>Moh</v>
      </c>
      <c r="J8" s="2" t="str">
        <f t="shared" si="1"/>
        <v>Jain</v>
      </c>
      <c r="K8" s="2" t="str">
        <f t="shared" si="2"/>
        <v>inan</v>
      </c>
      <c r="L8" s="2">
        <f t="shared" si="3"/>
        <v>21</v>
      </c>
      <c r="M8" s="2" t="str">
        <f t="shared" si="4"/>
        <v>Great Team Player</v>
      </c>
      <c r="N8" s="2" t="str">
        <f t="shared" si="5"/>
        <v>JAIN</v>
      </c>
      <c r="O8" s="2" t="str">
        <f t="shared" si="6"/>
        <v>mohit</v>
      </c>
      <c r="P8" s="2" t="str">
        <f t="shared" si="7"/>
        <v>Great Team Player</v>
      </c>
      <c r="Q8" s="4" t="str">
        <f t="shared" si="8"/>
        <v>Mohit Jain</v>
      </c>
      <c r="R8" s="4" t="str">
        <f t="shared" si="9"/>
        <v>Mohit-Jain-Finance</v>
      </c>
      <c r="S8" s="4" t="str">
        <f t="shared" si="10"/>
        <v>Mohit (mohit.jain@school.edu)</v>
      </c>
      <c r="T8" s="4">
        <f t="shared" si="11"/>
        <v>11</v>
      </c>
      <c r="U8" s="4" t="e">
        <f t="shared" si="12"/>
        <v>#VALUE!</v>
      </c>
      <c r="V8" s="4"/>
      <c r="W8" s="4"/>
      <c r="X8" s="4" t="str">
        <f t="shared" si="13"/>
        <v>₹43,210.00</v>
      </c>
      <c r="Y8" s="4"/>
      <c r="Z8" s="4" t="str">
        <f t="shared" si="14"/>
        <v>mohit.jain</v>
      </c>
      <c r="AA8" s="4" t="str">
        <f t="shared" si="15"/>
        <v>school.edu</v>
      </c>
      <c r="AB8" s="4" t="str">
        <f t="shared" si="16"/>
        <v>Great Team Player</v>
      </c>
      <c r="AC8" s="4" t="str">
        <f t="shared" si="17"/>
        <v>Mohit Jain works in Finance</v>
      </c>
      <c r="AD8" s="4" t="str">
        <f t="shared" si="18"/>
        <v>mohit.jain@school.edu</v>
      </c>
      <c r="AE8" s="4" t="str">
        <f t="shared" si="19"/>
        <v>Mohit</v>
      </c>
      <c r="AF8" s="4" t="str">
        <f t="shared" si="20"/>
        <v>Jain</v>
      </c>
      <c r="AG8" s="4"/>
      <c r="AH8" s="4" t="str">
        <f t="shared" si="21"/>
        <v>Mohit Jain</v>
      </c>
      <c r="AI8" s="4"/>
    </row>
    <row r="9" spans="1:35" x14ac:dyDescent="0.3">
      <c r="A9" s="2">
        <v>8</v>
      </c>
      <c r="B9" s="2" t="s">
        <v>41</v>
      </c>
      <c r="C9" s="2" t="s">
        <v>42</v>
      </c>
      <c r="D9" s="2" t="s">
        <v>43</v>
      </c>
      <c r="E9" s="3" t="s">
        <v>44</v>
      </c>
      <c r="F9" s="2" t="s">
        <v>22</v>
      </c>
      <c r="G9" s="2">
        <v>60000.9</v>
      </c>
      <c r="H9" s="2" t="s">
        <v>78</v>
      </c>
      <c r="I9" s="2" t="str">
        <f t="shared" si="0"/>
        <v>Neh</v>
      </c>
      <c r="J9" s="2" t="str">
        <f t="shared" si="1"/>
        <v>nsal</v>
      </c>
      <c r="K9" s="2" t="str">
        <f t="shared" si="2"/>
        <v>T</v>
      </c>
      <c r="L9" s="2">
        <f t="shared" si="3"/>
        <v>19</v>
      </c>
      <c r="M9" s="2" t="str">
        <f t="shared" si="4"/>
        <v>consistent efforts</v>
      </c>
      <c r="N9" s="2" t="str">
        <f t="shared" si="5"/>
        <v>BANSAL</v>
      </c>
      <c r="O9" s="2" t="str">
        <f t="shared" si="6"/>
        <v>neha</v>
      </c>
      <c r="P9" s="2" t="str">
        <f t="shared" si="7"/>
        <v>Consistent Efforts</v>
      </c>
      <c r="Q9" s="4" t="str">
        <f t="shared" si="8"/>
        <v>Neha Bansal</v>
      </c>
      <c r="R9" s="4" t="str">
        <f t="shared" si="9"/>
        <v>Neha-Bansal-IT</v>
      </c>
      <c r="S9" s="4" t="str">
        <f t="shared" si="10"/>
        <v>Neha (neha.bansal@abc.com)</v>
      </c>
      <c r="T9" s="4">
        <f t="shared" si="11"/>
        <v>12</v>
      </c>
      <c r="U9" s="4">
        <f t="shared" si="12"/>
        <v>16</v>
      </c>
      <c r="V9" s="4"/>
      <c r="W9" s="4"/>
      <c r="X9" s="4" t="str">
        <f t="shared" si="13"/>
        <v>₹60,000.90</v>
      </c>
      <c r="Y9" s="4"/>
      <c r="Z9" s="4" t="str">
        <f t="shared" si="14"/>
        <v>neha.bansal</v>
      </c>
      <c r="AA9" s="4" t="str">
        <f t="shared" si="15"/>
        <v>abc.com</v>
      </c>
      <c r="AB9" s="4" t="str">
        <f t="shared" si="16"/>
        <v>Consistent Efforts</v>
      </c>
      <c r="AC9" s="4" t="str">
        <f t="shared" si="17"/>
        <v>Neha Bansal works in IT</v>
      </c>
      <c r="AD9" s="4" t="str">
        <f t="shared" si="18"/>
        <v>neha.bansal@newabc.com</v>
      </c>
      <c r="AE9" s="4" t="str">
        <f t="shared" si="19"/>
        <v>Neha</v>
      </c>
      <c r="AF9" s="4" t="str">
        <f t="shared" si="20"/>
        <v>Bansal</v>
      </c>
      <c r="AG9" s="4"/>
      <c r="AH9" s="4" t="str">
        <f t="shared" si="21"/>
        <v>Neha Bansal</v>
      </c>
      <c r="AI9" s="4"/>
    </row>
    <row r="15" spans="1:35" x14ac:dyDescent="0.3">
      <c r="B15" t="s">
        <v>45</v>
      </c>
    </row>
    <row r="16" spans="1:35" x14ac:dyDescent="0.3">
      <c r="B16" t="s">
        <v>104</v>
      </c>
    </row>
    <row r="17" spans="2:2" x14ac:dyDescent="0.3">
      <c r="B17" t="s">
        <v>105</v>
      </c>
    </row>
    <row r="18" spans="2:2" x14ac:dyDescent="0.3">
      <c r="B18" t="s">
        <v>106</v>
      </c>
    </row>
    <row r="19" spans="2:2" x14ac:dyDescent="0.3">
      <c r="B19" t="s">
        <v>107</v>
      </c>
    </row>
    <row r="20" spans="2:2" x14ac:dyDescent="0.3">
      <c r="B20" t="s">
        <v>108</v>
      </c>
    </row>
    <row r="21" spans="2:2" x14ac:dyDescent="0.3">
      <c r="B21" t="s">
        <v>46</v>
      </c>
    </row>
    <row r="22" spans="2:2" x14ac:dyDescent="0.3">
      <c r="B22" t="s">
        <v>47</v>
      </c>
    </row>
    <row r="23" spans="2:2" x14ac:dyDescent="0.3">
      <c r="B23" t="s">
        <v>48</v>
      </c>
    </row>
    <row r="25" spans="2:2" x14ac:dyDescent="0.3">
      <c r="B25" t="s">
        <v>49</v>
      </c>
    </row>
    <row r="26" spans="2:2" x14ac:dyDescent="0.3">
      <c r="B26" t="s">
        <v>50</v>
      </c>
    </row>
    <row r="27" spans="2:2" x14ac:dyDescent="0.3">
      <c r="B27" t="s">
        <v>51</v>
      </c>
    </row>
    <row r="28" spans="2:2" x14ac:dyDescent="0.3">
      <c r="B28" t="s">
        <v>52</v>
      </c>
    </row>
    <row r="30" spans="2:2" x14ac:dyDescent="0.3">
      <c r="B30" t="s">
        <v>53</v>
      </c>
    </row>
    <row r="31" spans="2:2" x14ac:dyDescent="0.3">
      <c r="B31" t="s">
        <v>54</v>
      </c>
    </row>
    <row r="32" spans="2:2" x14ac:dyDescent="0.3">
      <c r="B32" t="s">
        <v>55</v>
      </c>
    </row>
    <row r="33" spans="2:2" x14ac:dyDescent="0.3">
      <c r="B33" t="s">
        <v>109</v>
      </c>
    </row>
    <row r="34" spans="2:2" x14ac:dyDescent="0.3">
      <c r="B34" t="s">
        <v>110</v>
      </c>
    </row>
    <row r="36" spans="2:2" x14ac:dyDescent="0.3">
      <c r="B36" t="s">
        <v>56</v>
      </c>
    </row>
    <row r="37" spans="2:2" x14ac:dyDescent="0.3">
      <c r="B37" t="s">
        <v>111</v>
      </c>
    </row>
    <row r="38" spans="2:2" x14ac:dyDescent="0.3">
      <c r="B38" t="s">
        <v>112</v>
      </c>
    </row>
    <row r="40" spans="2:2" x14ac:dyDescent="0.3">
      <c r="B40" t="s">
        <v>57</v>
      </c>
    </row>
    <row r="41" spans="2:2" x14ac:dyDescent="0.3">
      <c r="B41" t="s">
        <v>58</v>
      </c>
    </row>
    <row r="42" spans="2:2" x14ac:dyDescent="0.3">
      <c r="B42" t="s">
        <v>59</v>
      </c>
    </row>
    <row r="43" spans="2:2" x14ac:dyDescent="0.3">
      <c r="B43" t="s">
        <v>60</v>
      </c>
    </row>
    <row r="44" spans="2:2" x14ac:dyDescent="0.3">
      <c r="B44" t="s">
        <v>61</v>
      </c>
    </row>
    <row r="45" spans="2:2" x14ac:dyDescent="0.3">
      <c r="B45" t="s">
        <v>62</v>
      </c>
    </row>
    <row r="47" spans="2:2" x14ac:dyDescent="0.3">
      <c r="B47" t="s">
        <v>63</v>
      </c>
    </row>
    <row r="48" spans="2:2" x14ac:dyDescent="0.3">
      <c r="B48" t="s">
        <v>87</v>
      </c>
    </row>
    <row r="49" spans="2:2" x14ac:dyDescent="0.3">
      <c r="B49" t="s">
        <v>88</v>
      </c>
    </row>
    <row r="50" spans="2:2" x14ac:dyDescent="0.3">
      <c r="B50" t="s">
        <v>89</v>
      </c>
    </row>
    <row r="51" spans="2:2" x14ac:dyDescent="0.3">
      <c r="B51" t="s">
        <v>90</v>
      </c>
    </row>
    <row r="52" spans="2:2" x14ac:dyDescent="0.3">
      <c r="B52" t="s">
        <v>91</v>
      </c>
    </row>
  </sheetData>
  <phoneticPr fontId="3" type="noConversion"/>
  <hyperlinks>
    <hyperlink ref="E2" r:id="rId1" display="mailto:ramesh.sharma@abc.com" xr:uid="{E5997809-9344-4D60-9247-E2D3378CF540}"/>
    <hyperlink ref="E3" r:id="rId2" display="mailto:meena.gupta@xyz.org" xr:uid="{7EAB0B88-8769-40AE-9C40-5FE87047602A}"/>
    <hyperlink ref="E4" r:id="rId3" display="mailto:aarav.verma@school.edu" xr:uid="{5BB13EC6-64AD-49A0-8E72-A10873AB0E23}"/>
    <hyperlink ref="E5" r:id="rId4" display="mailto:priya.singh@abc.com" xr:uid="{DFB237E8-0CA2-47C5-A55B-D3547F9EC8F5}"/>
    <hyperlink ref="E6" r:id="rId5" display="mailto:karanmehta@company.in" xr:uid="{B74C4A10-1C79-43C4-9446-C61264183197}"/>
    <hyperlink ref="E7" r:id="rId6" display="mailto:sneha.kapoor@xyz.org" xr:uid="{ACFA7587-DEEF-44CC-B8D6-840E58F2226D}"/>
    <hyperlink ref="E8" r:id="rId7" display="mailto:mohit.jain@school.edu" xr:uid="{D2DD5B32-0589-4525-BBC4-5CB8A2FA175D}"/>
    <hyperlink ref="E9" r:id="rId8" display="mailto:neha.bansal@abc.com" xr:uid="{4A251D77-77FF-4C6D-A13D-D7F8E3BD91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Sanjana .</cp:lastModifiedBy>
  <dcterms:created xsi:type="dcterms:W3CDTF">2025-08-29T03:20:33Z</dcterms:created>
  <dcterms:modified xsi:type="dcterms:W3CDTF">2025-09-05T05:11:52Z</dcterms:modified>
</cp:coreProperties>
</file>