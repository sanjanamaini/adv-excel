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sanju\Downloads\"/>
    </mc:Choice>
  </mc:AlternateContent>
  <xr:revisionPtr revIDLastSave="0" documentId="13_ncr:1_{986599AE-E75E-4136-A94D-78CD97479FC5}" xr6:coauthVersionLast="47" xr6:coauthVersionMax="47" xr10:uidLastSave="{00000000-0000-0000-0000-000000000000}"/>
  <bookViews>
    <workbookView xWindow="-108" yWindow="-108" windowWidth="23256" windowHeight="12456" xr2:uid="{00000000-000D-0000-FFFF-FFFF00000000}"/>
  </bookViews>
  <sheets>
    <sheet name="Data" sheetId="2" r:id="rId1"/>
    <sheet name="Q1,Q4,Q8" sheetId="5" r:id="rId2"/>
    <sheet name="Q2,Q5,Q6" sheetId="6" r:id="rId3"/>
    <sheet name="Q3" sheetId="7" r:id="rId4"/>
  </sheets>
  <definedNames>
    <definedName name="Slicer_Category">#N/A</definedName>
    <definedName name="Slicer_Organisation">#N/A</definedName>
  </definedNames>
  <calcPr calcId="191029"/>
  <customWorkbookViews>
    <customWorkbookView name="2" guid="{5A044EAA-9A27-4B18-867A-B1070A85F28C}" maximized="1" xWindow="-11" yWindow="-11" windowWidth="1942" windowHeight="1030" activeSheetId="13"/>
    <customWorkbookView name="3" guid="{60B05185-D49C-44FB-8BD4-78231B907B14}" maximized="1" xWindow="-11" yWindow="-11" windowWidth="1942" windowHeight="1030" activeSheetId="14"/>
  </customWorkbookViews>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2" l="1"/>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alcChain>
</file>

<file path=xl/sharedStrings.xml><?xml version="1.0" encoding="utf-8"?>
<sst xmlns="http://schemas.openxmlformats.org/spreadsheetml/2006/main" count="405" uniqueCount="86">
  <si>
    <t>Baked Goods &amp; Mixes</t>
  </si>
  <si>
    <t>Portland</t>
  </si>
  <si>
    <t>OR</t>
  </si>
  <si>
    <t>New York</t>
  </si>
  <si>
    <t>NY</t>
  </si>
  <si>
    <t>Chicago</t>
  </si>
  <si>
    <t>IL</t>
  </si>
  <si>
    <t>Beverages</t>
  </si>
  <si>
    <t>Las Vegas</t>
  </si>
  <si>
    <t>NV</t>
  </si>
  <si>
    <t>Memphis</t>
  </si>
  <si>
    <t>TN</t>
  </si>
  <si>
    <t>Denver</t>
  </si>
  <si>
    <t>CO</t>
  </si>
  <si>
    <t>Milwaukee</t>
  </si>
  <si>
    <t>WI</t>
  </si>
  <si>
    <t>Candy</t>
  </si>
  <si>
    <t>Canned Fruit &amp; Vegetables</t>
  </si>
  <si>
    <t>Canned Meat</t>
  </si>
  <si>
    <t>Miami</t>
  </si>
  <si>
    <t>FL</t>
  </si>
  <si>
    <t>Seattle</t>
  </si>
  <si>
    <t>WA</t>
  </si>
  <si>
    <t>Condiments</t>
  </si>
  <si>
    <t>Los Angelas</t>
  </si>
  <si>
    <t>CA</t>
  </si>
  <si>
    <t>Dairy Products</t>
  </si>
  <si>
    <t>Salt Lake City</t>
  </si>
  <si>
    <t>UT</t>
  </si>
  <si>
    <t>Dried Fruit &amp; Nuts</t>
  </si>
  <si>
    <t>Grains</t>
  </si>
  <si>
    <t>Jams, Preserves</t>
  </si>
  <si>
    <t>Oil</t>
  </si>
  <si>
    <t>Pasta</t>
  </si>
  <si>
    <t>Sauces</t>
  </si>
  <si>
    <t>Soups</t>
  </si>
  <si>
    <t>Category</t>
  </si>
  <si>
    <t>Sales</t>
  </si>
  <si>
    <t>City</t>
  </si>
  <si>
    <t>State/Province</t>
  </si>
  <si>
    <t>Name</t>
  </si>
  <si>
    <t>Neipper</t>
  </si>
  <si>
    <t>Hellung-Larsen</t>
  </si>
  <si>
    <t>Freehafer</t>
  </si>
  <si>
    <t>Sergienko</t>
  </si>
  <si>
    <t>Kotas</t>
  </si>
  <si>
    <t>Cencini</t>
  </si>
  <si>
    <t>Zare</t>
  </si>
  <si>
    <t>Giussani</t>
  </si>
  <si>
    <t>Organisation</t>
  </si>
  <si>
    <t>Org H1</t>
  </si>
  <si>
    <t>Org D1</t>
  </si>
  <si>
    <t>Org J1</t>
  </si>
  <si>
    <t>Org Y1</t>
  </si>
  <si>
    <t>Org AA1</t>
  </si>
  <si>
    <t>Org L1</t>
  </si>
  <si>
    <t>Org BB1</t>
  </si>
  <si>
    <t>Org CC1</t>
  </si>
  <si>
    <t>Org F1</t>
  </si>
  <si>
    <t>Org Z1</t>
  </si>
  <si>
    <t>Org A1</t>
  </si>
  <si>
    <t>Org C1</t>
  </si>
  <si>
    <t>Org I1</t>
  </si>
  <si>
    <t>Org K1</t>
  </si>
  <si>
    <t>Region</t>
  </si>
  <si>
    <t>A</t>
  </si>
  <si>
    <t>B</t>
  </si>
  <si>
    <t>C</t>
  </si>
  <si>
    <t>Change the color of gridlines to Green</t>
  </si>
  <si>
    <t>Create a slicer for Org and Category on Pivot 2</t>
  </si>
  <si>
    <t>Questions</t>
  </si>
  <si>
    <t>Create a Pivot table to show category and Org wise Sales</t>
  </si>
  <si>
    <t>Create a Pivot table to show City wise Sales</t>
  </si>
  <si>
    <t>Create a Pivot table to show City wise Sales with Region in columns</t>
  </si>
  <si>
    <t>Create  Pie chart on Pivot 2 - Category wise Sales</t>
  </si>
  <si>
    <t>Create  Bar chart on Pivot 1  - Org wise sales</t>
  </si>
  <si>
    <t>Create  Line chart for city wise Sales</t>
  </si>
  <si>
    <t>Row Labels</t>
  </si>
  <si>
    <t>Grand Total</t>
  </si>
  <si>
    <t>Sum of Sales</t>
  </si>
  <si>
    <t>Column Labels</t>
  </si>
  <si>
    <t>Q4</t>
  </si>
  <si>
    <t>Q5</t>
  </si>
  <si>
    <t>done in this worksheet</t>
  </si>
  <si>
    <t>Q6</t>
  </si>
  <si>
    <t>Q8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</si>
</sst>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8"/>
      <color theme="1"/>
      <name val="Calibri"/>
      <family val="2"/>
      <scheme val="minor"/>
    </font>
  </fonts>
  <fills count="6">
    <fill>
      <patternFill patternType="none"/>
    </fill>
    <fill>
      <patternFill patternType="gray125"/>
    </fill>
    <fill>
      <patternFill patternType="solid">
        <fgColor theme="0"/>
        <bgColor theme="0" tint="-0.14999847407452621"/>
      </patternFill>
    </fill>
    <fill>
      <patternFill patternType="solid">
        <fgColor theme="0"/>
        <bgColor indexed="64"/>
      </patternFill>
    </fill>
    <fill>
      <patternFill patternType="solid">
        <fgColor rgb="FF975CCB"/>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0" borderId="0" xfId="0" applyFont="1"/>
    <xf numFmtId="0" fontId="2" fillId="0" borderId="0" xfId="0" applyFont="1"/>
    <xf numFmtId="0" fontId="0" fillId="2" borderId="0" xfId="0" applyFill="1" applyAlignment="1">
      <alignment horizontal="left" vertic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pivotButton="1" applyAlignment="1">
      <alignment horizontal="center"/>
    </xf>
    <xf numFmtId="0" fontId="4"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0" fillId="5" borderId="0" xfId="0" applyFill="1"/>
    <xf numFmtId="0" fontId="0" fillId="0" borderId="0" xfId="0" applyNumberFormat="1"/>
  </cellXfs>
  <cellStyles count="1">
    <cellStyle name="Normal" xfId="0" builtinId="0"/>
  </cellStyles>
  <dxfs count="6">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7777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Picot_chart_slicer_Assignment.xlsx]Q1,Q4,Q8!PivotTable2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'Q1,Q4,Q8'!$B$3</c:f>
              <c:strCache>
                <c:ptCount val="1"/>
                <c:pt idx="0">
                  <c:v>Total</c:v>
                </c:pt>
              </c:strCache>
            </c:strRef>
          </c:tx>
          <c:spPr>
            <a:solidFill>
              <a:schemeClr val="accent1"/>
            </a:solidFill>
            <a:ln>
              <a:noFill/>
            </a:ln>
            <a:effectLst/>
          </c:spPr>
          <c:invertIfNegative val="0"/>
          <c:cat>
            <c:multiLvlStrRef>
              <c:f>'Q1,Q4,Q8'!$A$4:$A$58</c:f>
              <c:multiLvlStrCache>
                <c:ptCount val="40"/>
                <c:lvl>
                  <c:pt idx="0">
                    <c:v>Org D1</c:v>
                  </c:pt>
                  <c:pt idx="1">
                    <c:v>Org H1</c:v>
                  </c:pt>
                  <c:pt idx="2">
                    <c:v>Org J1</c:v>
                  </c:pt>
                  <c:pt idx="3">
                    <c:v>Org Y1</c:v>
                  </c:pt>
                  <c:pt idx="4">
                    <c:v>Org AA1</c:v>
                  </c:pt>
                  <c:pt idx="5">
                    <c:v>Org BB1</c:v>
                  </c:pt>
                  <c:pt idx="6">
                    <c:v>Org CC1</c:v>
                  </c:pt>
                  <c:pt idx="7">
                    <c:v>Org F1</c:v>
                  </c:pt>
                  <c:pt idx="8">
                    <c:v>Org J1</c:v>
                  </c:pt>
                  <c:pt idx="9">
                    <c:v>Org L1</c:v>
                  </c:pt>
                  <c:pt idx="10">
                    <c:v>Org CC1</c:v>
                  </c:pt>
                  <c:pt idx="11">
                    <c:v>Org F1</c:v>
                  </c:pt>
                  <c:pt idx="12">
                    <c:v>Org H1</c:v>
                  </c:pt>
                  <c:pt idx="13">
                    <c:v>Org CC1</c:v>
                  </c:pt>
                  <c:pt idx="14">
                    <c:v>Org A1</c:v>
                  </c:pt>
                  <c:pt idx="15">
                    <c:v>Org BB1</c:v>
                  </c:pt>
                  <c:pt idx="16">
                    <c:v>Org Z1</c:v>
                  </c:pt>
                  <c:pt idx="17">
                    <c:v>Org C1</c:v>
                  </c:pt>
                  <c:pt idx="18">
                    <c:v>Org J1</c:v>
                  </c:pt>
                  <c:pt idx="19">
                    <c:v>Org Y1</c:v>
                  </c:pt>
                  <c:pt idx="20">
                    <c:v>Org H1</c:v>
                  </c:pt>
                  <c:pt idx="21">
                    <c:v>Org I1</c:v>
                  </c:pt>
                  <c:pt idx="22">
                    <c:v>Org AA1</c:v>
                  </c:pt>
                  <c:pt idx="23">
                    <c:v>Org D1</c:v>
                  </c:pt>
                  <c:pt idx="24">
                    <c:v>Org F1</c:v>
                  </c:pt>
                  <c:pt idx="25">
                    <c:v>Org J1</c:v>
                  </c:pt>
                  <c:pt idx="26">
                    <c:v>Org D1</c:v>
                  </c:pt>
                  <c:pt idx="27">
                    <c:v>Org D1</c:v>
                  </c:pt>
                  <c:pt idx="28">
                    <c:v>Org J1</c:v>
                  </c:pt>
                  <c:pt idx="29">
                    <c:v>Org Z1</c:v>
                  </c:pt>
                  <c:pt idx="30">
                    <c:v>Org Z1</c:v>
                  </c:pt>
                  <c:pt idx="31">
                    <c:v>Org I1</c:v>
                  </c:pt>
                  <c:pt idx="32">
                    <c:v>Org C1</c:v>
                  </c:pt>
                  <c:pt idx="33">
                    <c:v>Org F1</c:v>
                  </c:pt>
                  <c:pt idx="34">
                    <c:v>Org H1</c:v>
                  </c:pt>
                  <c:pt idx="35">
                    <c:v>Org K1</c:v>
                  </c:pt>
                  <c:pt idx="36">
                    <c:v>Org BB1</c:v>
                  </c:pt>
                  <c:pt idx="37">
                    <c:v>Org C1</c:v>
                  </c:pt>
                  <c:pt idx="38">
                    <c:v>Org I1</c:v>
                  </c:pt>
                  <c:pt idx="39">
                    <c:v>Org Z1</c:v>
                  </c:pt>
                </c:lvl>
                <c:lvl>
                  <c:pt idx="0">
                    <c:v>Baked Goods &amp; Mixes</c:v>
                  </c:pt>
                  <c:pt idx="4">
                    <c:v>Beverages</c:v>
                  </c:pt>
                  <c:pt idx="10">
                    <c:v>Candy</c:v>
                  </c:pt>
                  <c:pt idx="13">
                    <c:v>Canned Fruit &amp; Vegetables</c:v>
                  </c:pt>
                  <c:pt idx="14">
                    <c:v>Canned Meat</c:v>
                  </c:pt>
                  <c:pt idx="17">
                    <c:v>Condiments</c:v>
                  </c:pt>
                  <c:pt idx="20">
                    <c:v>Dairy Products</c:v>
                  </c:pt>
                  <c:pt idx="22">
                    <c:v>Dried Fruit &amp; Nuts</c:v>
                  </c:pt>
                  <c:pt idx="26">
                    <c:v>Grains</c:v>
                  </c:pt>
                  <c:pt idx="27">
                    <c:v>Jams, Preserves</c:v>
                  </c:pt>
                  <c:pt idx="30">
                    <c:v>Oil</c:v>
                  </c:pt>
                  <c:pt idx="31">
                    <c:v>Pasta</c:v>
                  </c:pt>
                  <c:pt idx="32">
                    <c:v>Sauces</c:v>
                  </c:pt>
                  <c:pt idx="36">
                    <c:v>Soups</c:v>
                  </c:pt>
                </c:lvl>
              </c:multiLvlStrCache>
            </c:multiLvlStrRef>
          </c:cat>
          <c:val>
            <c:numRef>
              <c:f>'Q1,Q4,Q8'!$B$4:$B$58</c:f>
              <c:numCache>
                <c:formatCode>General</c:formatCode>
                <c:ptCount val="40"/>
                <c:pt idx="0">
                  <c:v>22632</c:v>
                </c:pt>
                <c:pt idx="1">
                  <c:v>62238</c:v>
                </c:pt>
                <c:pt idx="2">
                  <c:v>11316</c:v>
                </c:pt>
                <c:pt idx="3">
                  <c:v>24600</c:v>
                </c:pt>
                <c:pt idx="4">
                  <c:v>172200</c:v>
                </c:pt>
                <c:pt idx="5">
                  <c:v>1725690</c:v>
                </c:pt>
                <c:pt idx="6">
                  <c:v>149814</c:v>
                </c:pt>
                <c:pt idx="7">
                  <c:v>516600</c:v>
                </c:pt>
                <c:pt idx="8">
                  <c:v>73554</c:v>
                </c:pt>
                <c:pt idx="9">
                  <c:v>146370</c:v>
                </c:pt>
                <c:pt idx="10">
                  <c:v>15682.5</c:v>
                </c:pt>
                <c:pt idx="11">
                  <c:v>78412.5</c:v>
                </c:pt>
                <c:pt idx="12">
                  <c:v>219555</c:v>
                </c:pt>
                <c:pt idx="13">
                  <c:v>241080</c:v>
                </c:pt>
                <c:pt idx="14">
                  <c:v>90528</c:v>
                </c:pt>
                <c:pt idx="15">
                  <c:v>113160</c:v>
                </c:pt>
                <c:pt idx="16">
                  <c:v>67896</c:v>
                </c:pt>
                <c:pt idx="17">
                  <c:v>61500</c:v>
                </c:pt>
                <c:pt idx="18">
                  <c:v>27060</c:v>
                </c:pt>
                <c:pt idx="19">
                  <c:v>81180</c:v>
                </c:pt>
                <c:pt idx="20">
                  <c:v>171216</c:v>
                </c:pt>
                <c:pt idx="21">
                  <c:v>214020</c:v>
                </c:pt>
                <c:pt idx="22">
                  <c:v>12915</c:v>
                </c:pt>
                <c:pt idx="23">
                  <c:v>106395</c:v>
                </c:pt>
                <c:pt idx="24">
                  <c:v>355470</c:v>
                </c:pt>
                <c:pt idx="25">
                  <c:v>31057.5</c:v>
                </c:pt>
                <c:pt idx="26">
                  <c:v>34440</c:v>
                </c:pt>
                <c:pt idx="27">
                  <c:v>398520</c:v>
                </c:pt>
                <c:pt idx="28">
                  <c:v>30750</c:v>
                </c:pt>
                <c:pt idx="29">
                  <c:v>276750</c:v>
                </c:pt>
                <c:pt idx="30">
                  <c:v>65651.25</c:v>
                </c:pt>
                <c:pt idx="31">
                  <c:v>239850</c:v>
                </c:pt>
                <c:pt idx="32">
                  <c:v>14760</c:v>
                </c:pt>
                <c:pt idx="33">
                  <c:v>83640</c:v>
                </c:pt>
                <c:pt idx="34">
                  <c:v>123000</c:v>
                </c:pt>
                <c:pt idx="35">
                  <c:v>98400</c:v>
                </c:pt>
                <c:pt idx="36">
                  <c:v>59347.5</c:v>
                </c:pt>
                <c:pt idx="37">
                  <c:v>237390</c:v>
                </c:pt>
                <c:pt idx="38">
                  <c:v>11869.5</c:v>
                </c:pt>
                <c:pt idx="39">
                  <c:v>35608.5</c:v>
                </c:pt>
              </c:numCache>
            </c:numRef>
          </c:val>
          <c:extLst>
            <c:ext xmlns:c16="http://schemas.microsoft.com/office/drawing/2014/chart" uri="{C3380CC4-5D6E-409C-BE32-E72D297353CC}">
              <c16:uniqueId val="{00000000-BCC3-4071-9FDC-3ADB7B9C8B25}"/>
            </c:ext>
          </c:extLst>
        </c:ser>
        <c:dLbls>
          <c:showLegendKey val="0"/>
          <c:showVal val="0"/>
          <c:showCatName val="0"/>
          <c:showSerName val="0"/>
          <c:showPercent val="0"/>
          <c:showBubbleSize val="0"/>
        </c:dLbls>
        <c:gapWidth val="219"/>
        <c:overlap val="-27"/>
        <c:axId val="82025039"/>
        <c:axId val="82033199"/>
      </c:barChart>
      <c:catAx>
        <c:axId val="82025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3199"/>
        <c:crosses val="autoZero"/>
        <c:auto val="1"/>
        <c:lblAlgn val="ctr"/>
        <c:lblOffset val="100"/>
        <c:noMultiLvlLbl val="0"/>
      </c:catAx>
      <c:valAx>
        <c:axId val="820331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2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Picot_chart_slicer_Assignment.xlsx]Q2,Q5,Q6!PivotTable3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Sales</a:t>
            </a:r>
          </a:p>
        </c:rich>
      </c:tx>
      <c:layout>
        <c:manualLayout>
          <c:xMode val="edge"/>
          <c:yMode val="edge"/>
          <c:x val="0.36875678040244975"/>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'Q2,Q5,Q6'!$B$3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5E-4714-8FCE-5851D35774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5E-4714-8FCE-5851D35774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5E-4714-8FCE-5851D35774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5E-4714-8FCE-5851D35774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5E-4714-8FCE-5851D357740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55E-4714-8FCE-5851D357740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55E-4714-8FCE-5851D357740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55E-4714-8FCE-5851D357740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55E-4714-8FCE-5851D357740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55E-4714-8FCE-5851D357740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55E-4714-8FCE-5851D35774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'Q2,Q5,Q6'!$A$4:$A$15</c:f>
              <c:strCache>
                <c:ptCount val="11"/>
                <c:pt idx="0">
                  <c:v>Chicago</c:v>
                </c:pt>
                <c:pt idx="1">
                  <c:v>Denver</c:v>
                </c:pt>
                <c:pt idx="2">
                  <c:v>Las Vegas</c:v>
                </c:pt>
                <c:pt idx="3">
                  <c:v>Los Angelas</c:v>
                </c:pt>
                <c:pt idx="4">
                  <c:v>Memphis</c:v>
                </c:pt>
                <c:pt idx="5">
                  <c:v>Miami</c:v>
                </c:pt>
                <c:pt idx="6">
                  <c:v>Milwaukee</c:v>
                </c:pt>
                <c:pt idx="7">
                  <c:v>New York</c:v>
                </c:pt>
                <c:pt idx="8">
                  <c:v>Portland</c:v>
                </c:pt>
                <c:pt idx="9">
                  <c:v>Salt Lake City</c:v>
                </c:pt>
                <c:pt idx="10">
                  <c:v>Seattle</c:v>
                </c:pt>
              </c:strCache>
            </c:strRef>
          </c:cat>
          <c:val>
            <c:numRef>
              <c:f>'Q2,Q5,Q6'!$B$4:$B$15</c:f>
              <c:numCache>
                <c:formatCode>General</c:formatCode>
                <c:ptCount val="11"/>
                <c:pt idx="0">
                  <c:v>279517.5</c:v>
                </c:pt>
                <c:pt idx="1">
                  <c:v>406576.5</c:v>
                </c:pt>
                <c:pt idx="2">
                  <c:v>331485</c:v>
                </c:pt>
                <c:pt idx="3">
                  <c:v>313650</c:v>
                </c:pt>
                <c:pt idx="4">
                  <c:v>1898197.5</c:v>
                </c:pt>
                <c:pt idx="5">
                  <c:v>544305.75</c:v>
                </c:pt>
                <c:pt idx="6">
                  <c:v>1034122.5</c:v>
                </c:pt>
                <c:pt idx="7">
                  <c:v>561987</c:v>
                </c:pt>
                <c:pt idx="8">
                  <c:v>576009</c:v>
                </c:pt>
                <c:pt idx="9">
                  <c:v>465739.5</c:v>
                </c:pt>
                <c:pt idx="10">
                  <c:v>90528</c:v>
                </c:pt>
              </c:numCache>
            </c:numRef>
          </c:val>
          <c:extLst>
            <c:ext xmlns:c16="http://schemas.microsoft.com/office/drawing/2014/chart" uri="{C3380CC4-5D6E-409C-BE32-E72D297353CC}">
              <c16:uniqueId val="{00000000-A5CB-4EA7-B95B-5A9EE9F2CF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Picot_chart_slicer_Assignment.xlsx]Q2,Q5,Q6!PivotTable3</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'Q2,Q5,Q6'!$B$3</c:f>
              <c:strCache>
                <c:ptCount val="1"/>
                <c:pt idx="0">
                  <c:v>Total</c:v>
                </c:pt>
              </c:strCache>
            </c:strRef>
          </c:tx>
          <c:spPr>
            <a:ln w="28575" cap="rnd">
              <a:solidFill>
                <a:schemeClr val="accent1"/>
              </a:solidFill>
              <a:round/>
            </a:ln>
            <a:effectLst/>
          </c:spPr>
          <c:marker>
            <c:symbol val="none"/>
          </c:marker>
          <c:cat>
            <c:strRef>
              <c:f>'Q2,Q5,Q6'!$A$4:$A$15</c:f>
              <c:strCache>
                <c:ptCount val="11"/>
                <c:pt idx="0">
                  <c:v>Chicago</c:v>
                </c:pt>
                <c:pt idx="1">
                  <c:v>Denver</c:v>
                </c:pt>
                <c:pt idx="2">
                  <c:v>Las Vegas</c:v>
                </c:pt>
                <c:pt idx="3">
                  <c:v>Los Angelas</c:v>
                </c:pt>
                <c:pt idx="4">
                  <c:v>Memphis</c:v>
                </c:pt>
                <c:pt idx="5">
                  <c:v>Miami</c:v>
                </c:pt>
                <c:pt idx="6">
                  <c:v>Milwaukee</c:v>
                </c:pt>
                <c:pt idx="7">
                  <c:v>New York</c:v>
                </c:pt>
                <c:pt idx="8">
                  <c:v>Portland</c:v>
                </c:pt>
                <c:pt idx="9">
                  <c:v>Salt Lake City</c:v>
                </c:pt>
                <c:pt idx="10">
                  <c:v>Seattle</c:v>
                </c:pt>
              </c:strCache>
            </c:strRef>
          </c:cat>
          <c:val>
            <c:numRef>
              <c:f>'Q2,Q5,Q6'!$B$4:$B$15</c:f>
              <c:numCache>
                <c:formatCode>General</c:formatCode>
                <c:ptCount val="11"/>
                <c:pt idx="0">
                  <c:v>279517.5</c:v>
                </c:pt>
                <c:pt idx="1">
                  <c:v>406576.5</c:v>
                </c:pt>
                <c:pt idx="2">
                  <c:v>331485</c:v>
                </c:pt>
                <c:pt idx="3">
                  <c:v>313650</c:v>
                </c:pt>
                <c:pt idx="4">
                  <c:v>1898197.5</c:v>
                </c:pt>
                <c:pt idx="5">
                  <c:v>544305.75</c:v>
                </c:pt>
                <c:pt idx="6">
                  <c:v>1034122.5</c:v>
                </c:pt>
                <c:pt idx="7">
                  <c:v>561987</c:v>
                </c:pt>
                <c:pt idx="8">
                  <c:v>576009</c:v>
                </c:pt>
                <c:pt idx="9">
                  <c:v>465739.5</c:v>
                </c:pt>
                <c:pt idx="10">
                  <c:v>90528</c:v>
                </c:pt>
              </c:numCache>
            </c:numRef>
          </c:val>
          <c:smooth val="0"/>
          <c:extLst>
            <c:ext xmlns:c16="http://schemas.microsoft.com/office/drawing/2014/chart" uri="{C3380CC4-5D6E-409C-BE32-E72D297353CC}">
              <c16:uniqueId val="{00000000-91CA-416D-B3E0-FF42417F1B37}"/>
            </c:ext>
          </c:extLst>
        </c:ser>
        <c:dLbls>
          <c:showLegendKey val="0"/>
          <c:showVal val="0"/>
          <c:showCatName val="0"/>
          <c:showSerName val="0"/>
          <c:showPercent val="0"/>
          <c:showBubbleSize val="0"/>
        </c:dLbls>
        <c:smooth val="0"/>
        <c:axId val="1256115103"/>
        <c:axId val="1256120383"/>
      </c:lineChart>
      <c:catAx>
        <c:axId val="125611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20383"/>
        <c:crosses val="autoZero"/>
        <c:auto val="1"/>
        <c:lblAlgn val="ctr"/>
        <c:lblOffset val="100"/>
        <c:noMultiLvlLbl val="0"/>
      </c:catAx>
      <c:valAx>
        <c:axId val="125612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1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165621</xdr:colOff>
      <xdr:row>18</xdr:row>
      <xdr:rowOff>33131</xdr:rowOff>
    </xdr:from>
    <xdr:to>
      <xdr:col>17</xdr:col>
      <xdr:colOff>74182</xdr:colOff>
      <xdr:row>43</xdr:row>
      <xdr:rowOff>132191</xdr:rowOff>
    </xdr:to>
    <xdr:graphicFrame macro="">
      <xdr:nvGraphicFramePr>
        <xdr:cNvPr id="2" name="Chart 1">
          <a:extLst>
            <a:ext uri="{FF2B5EF4-FFF2-40B4-BE49-F238E27FC236}">
              <a16:creationId xmlns:a16="http://schemas.microsoft.com/office/drawing/2014/main" id="{95C5623C-DB73-28C2-75B7-FEC9235CC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324210</xdr:colOff>
      <xdr:row>2</xdr:row>
      <xdr:rowOff>88421</xdr:rowOff>
    </xdr:from>
    <xdr:to>
      <xdr:col>20</xdr:col>
      <xdr:colOff>341463</xdr:colOff>
      <xdr:row>15</xdr:row>
      <xdr:rowOff>125622</xdr:rowOff>
    </xdr:to>
    <mc:AlternateContent xmlns:mc="http://schemas.openxmlformats.org/markup-compatibility/2006">
      <mc:Choice xmlns:a14="http://schemas.microsoft.com/office/drawing/2010/main" Requires="a14">
        <xdr:graphicFrame macro="">
          <xdr:nvGraphicFramePr>
            <xdr:cNvPr id="3" name="Organisation">
              <a:extLst>
                <a:ext uri="{FF2B5EF4-FFF2-40B4-BE49-F238E27FC236}">
                  <a16:creationId xmlns:a16="http://schemas.microsoft.com/office/drawing/2014/main" id="{104879E2-C7C9-1A07-652D-00AF5C86C0D9}"/>
                </a:ext>
              </a:extLst>
            </xdr:cNvPr>
            <xdr:cNvGraphicFramePr/>
          </xdr:nvGraphicFramePr>
          <xdr:xfrm>
            <a:off x="0" y="0"/>
            <a:ext cx="0" cy="0"/>
          </xdr:xfrm>
          <a:graphic>
            <a:graphicData uri="http://schemas.microsoft.com/office/drawing/2010/slicer">
              <sle:slicer xmlns:sle="http://schemas.microsoft.com/office/drawing/2010/slicer" name="Organisation"/>
            </a:graphicData>
          </a:graphic>
        </xdr:graphicFrame>
      </mc:Choice>
      <mc:Fallback>
        <xdr:sp macro="" textlink="">
          <xdr:nvSpPr>
            <xdr:cNvPr id="0" name=""/>
            <xdr:cNvSpPr>
              <a:spLocks noTextEdit="1"/>
            </xdr:cNvSpPr>
          </xdr:nvSpPr>
          <xdr:spPr>
            <a:xfrm>
              <a:off x="12947531" y="46223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344194</xdr:colOff>
      <xdr:row>2</xdr:row>
      <xdr:rowOff>108406</xdr:rowOff>
    </xdr:from>
    <xdr:to>
      <xdr:col>24</xdr:col>
      <xdr:colOff>361447</xdr:colOff>
      <xdr:row>15</xdr:row>
      <xdr:rowOff>145607</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D799623E-9F4B-3EE0-64C4-88F639D867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382911" y="48221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3" name="Chart 2">
          <a:extLst>
            <a:ext uri="{FF2B5EF4-FFF2-40B4-BE49-F238E27FC236}">
              <a16:creationId xmlns:a16="http://schemas.microsoft.com/office/drawing/2014/main" id="{CB19EA00-9614-9E90-7591-ECA814D95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533400</xdr:colOff>
      <xdr:row>7</xdr:row>
      <xdr:rowOff>140970</xdr:rowOff>
    </xdr:from>
    <xdr:to>
      <xdr:col>23</xdr:col>
      <xdr:colOff>228600</xdr:colOff>
      <xdr:row>22</xdr:row>
      <xdr:rowOff>140970</xdr:rowOff>
    </xdr:to>
    <xdr:graphicFrame macro="">
      <xdr:nvGraphicFramePr>
        <xdr:cNvPr id="2" name="Chart 1">
          <a:extLst>
            <a:ext uri="{FF2B5EF4-FFF2-40B4-BE49-F238E27FC236}">
              <a16:creationId xmlns:a16="http://schemas.microsoft.com/office/drawing/2014/main" id="{3F3AFBCC-8680-F229-D4F0-60EE343AB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Maini" refreshedDate="45930.801321990744" createdVersion="8" refreshedVersion="8" minRefreshableVersion="3" recordCount="49" xr:uid="{F6650780-1642-44D5-A33B-558BB48D0295}">
  <cacheSource type="worksheet">
    <worksheetSource ref="A1:G50" sheet="Data"/>
  </cacheSource>
  <cacheFields count="7">
    <cacheField name="Name" numFmtId="0">
      <sharedItems/>
    </cacheField>
    <cacheField name="Organisation" numFmtId="0">
      <sharedItems count="14">
        <s v="Org H1"/>
        <s v="Org D1"/>
        <s v="Org J1"/>
        <s v="Org Y1"/>
        <s v="Org AA1"/>
        <s v="Org L1"/>
        <s v="Org BB1"/>
        <s v="Org CC1"/>
        <s v="Org F1"/>
        <s v="Org Z1"/>
        <s v="Org A1"/>
        <s v="Org C1"/>
        <s v="Org I1"/>
        <s v="Org K1"/>
      </sharedItems>
    </cacheField>
    <cacheField name="Category" numFmtId="0">
      <sharedItems count="14">
        <s v="Baked Goods &amp; Mixes"/>
        <s v="Beverages"/>
        <s v="Candy"/>
        <s v="Canned Fruit &amp; Vegetables"/>
        <s v="Canned Meat"/>
        <s v="Condiments"/>
        <s v="Dairy Products"/>
        <s v="Dried Fruit &amp; Nuts"/>
        <s v="Grains"/>
        <s v="Jams, Preserves"/>
        <s v="Oil"/>
        <s v="Pasta"/>
        <s v="Sauces"/>
        <s v="Soups"/>
      </sharedItems>
    </cacheField>
    <cacheField name="Sales" numFmtId="0">
      <sharedItems containsSemiMixedTypes="0" containsString="0" containsNumber="1" minValue="4305" maxValue="1697400"/>
    </cacheField>
    <cacheField name="City" numFmtId="0">
      <sharedItems count="11">
        <s v="Portland"/>
        <s v="New York"/>
        <s v="Chicago"/>
        <s v="Las Vegas"/>
        <s v="Memphis"/>
        <s v="Denver"/>
        <s v="Milwaukee"/>
        <s v="Miami"/>
        <s v="Seattle"/>
        <s v="Los Angelas"/>
        <s v="Salt Lake City"/>
      </sharedItems>
    </cacheField>
    <cacheField name="State/Province" numFmtId="0">
      <sharedItems/>
    </cacheField>
    <cacheField name="Region" numFmtId="0">
      <sharedItems count="3">
        <s v="A"/>
        <s v="C"/>
        <s v="B"/>
      </sharedItems>
    </cacheField>
  </cacheFields>
  <extLst>
    <ext xmlns:x14="http://schemas.microsoft.com/office/spreadsheetml/2009/9/main" uri="{725AE2AE-9491-48be-B2B4-4EB974FC3084}">
      <x14:pivotCacheDefinition pivotCacheId="1741645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Neipper"/>
    <x v="0"/>
    <x v="0"/>
    <n v="33948"/>
    <x v="0"/>
    <s v="OR"/>
    <x v="0"/>
  </r>
  <r>
    <s v="Hellung-Larsen"/>
    <x v="1"/>
    <x v="0"/>
    <n v="22632"/>
    <x v="1"/>
    <s v="NY"/>
    <x v="0"/>
  </r>
  <r>
    <s v="Freehafer"/>
    <x v="2"/>
    <x v="0"/>
    <n v="11316"/>
    <x v="2"/>
    <s v="IL"/>
    <x v="0"/>
  </r>
  <r>
    <s v="Sergienko"/>
    <x v="0"/>
    <x v="0"/>
    <n v="28290"/>
    <x v="0"/>
    <s v="OR"/>
    <x v="0"/>
  </r>
  <r>
    <s v="Hellung-Larsen"/>
    <x v="3"/>
    <x v="0"/>
    <n v="24600"/>
    <x v="2"/>
    <s v="IL"/>
    <x v="0"/>
  </r>
  <r>
    <s v="Hellung-Larsen"/>
    <x v="4"/>
    <x v="1"/>
    <n v="172200"/>
    <x v="3"/>
    <s v="NV"/>
    <x v="0"/>
  </r>
  <r>
    <s v="Sergienko"/>
    <x v="5"/>
    <x v="1"/>
    <n v="33210"/>
    <x v="3"/>
    <s v="NV"/>
    <x v="0"/>
  </r>
  <r>
    <s v="Sergienko"/>
    <x v="5"/>
    <x v="1"/>
    <n v="113160"/>
    <x v="3"/>
    <s v="NV"/>
    <x v="0"/>
  </r>
  <r>
    <s v="Hellung-Larsen"/>
    <x v="6"/>
    <x v="1"/>
    <n v="1697400"/>
    <x v="4"/>
    <s v="TN"/>
    <x v="0"/>
  </r>
  <r>
    <s v="Sergienko"/>
    <x v="2"/>
    <x v="1"/>
    <n v="73554"/>
    <x v="2"/>
    <s v="IL"/>
    <x v="0"/>
  </r>
  <r>
    <s v="Freehafer"/>
    <x v="7"/>
    <x v="1"/>
    <n v="149814"/>
    <x v="5"/>
    <s v="CO"/>
    <x v="1"/>
  </r>
  <r>
    <s v="Neipper"/>
    <x v="8"/>
    <x v="1"/>
    <n v="516600"/>
    <x v="6"/>
    <s v="WI"/>
    <x v="0"/>
  </r>
  <r>
    <s v="Freehafer"/>
    <x v="6"/>
    <x v="1"/>
    <n v="28290"/>
    <x v="4"/>
    <s v="TN"/>
    <x v="1"/>
  </r>
  <r>
    <s v="Kotas"/>
    <x v="7"/>
    <x v="2"/>
    <n v="15682.5"/>
    <x v="5"/>
    <s v="CO"/>
    <x v="0"/>
  </r>
  <r>
    <s v="Kotas"/>
    <x v="0"/>
    <x v="2"/>
    <n v="156825"/>
    <x v="0"/>
    <s v="OR"/>
    <x v="0"/>
  </r>
  <r>
    <s v="Cencini"/>
    <x v="8"/>
    <x v="2"/>
    <n v="15682.5"/>
    <x v="6"/>
    <s v="WI"/>
    <x v="0"/>
  </r>
  <r>
    <s v="Sergienko"/>
    <x v="0"/>
    <x v="2"/>
    <n v="62730"/>
    <x v="0"/>
    <s v="OR"/>
    <x v="1"/>
  </r>
  <r>
    <s v="Neipper"/>
    <x v="8"/>
    <x v="2"/>
    <n v="62730"/>
    <x v="6"/>
    <s v="WI"/>
    <x v="2"/>
  </r>
  <r>
    <s v="Freehafer"/>
    <x v="7"/>
    <x v="3"/>
    <n v="241080"/>
    <x v="5"/>
    <s v="CO"/>
    <x v="2"/>
  </r>
  <r>
    <s v="Hellung-Larsen"/>
    <x v="9"/>
    <x v="4"/>
    <n v="67896"/>
    <x v="7"/>
    <s v="FL"/>
    <x v="2"/>
  </r>
  <r>
    <s v="Freehafer"/>
    <x v="6"/>
    <x v="4"/>
    <n v="113160"/>
    <x v="4"/>
    <s v="TN"/>
    <x v="2"/>
  </r>
  <r>
    <s v="Freehafer"/>
    <x v="10"/>
    <x v="4"/>
    <n v="90528"/>
    <x v="8"/>
    <s v="WA"/>
    <x v="2"/>
  </r>
  <r>
    <s v="Freehafer"/>
    <x v="2"/>
    <x v="5"/>
    <n v="27060"/>
    <x v="2"/>
    <s v="IL"/>
    <x v="2"/>
  </r>
  <r>
    <s v="Sergienko"/>
    <x v="11"/>
    <x v="5"/>
    <n v="61500"/>
    <x v="9"/>
    <s v="CA"/>
    <x v="2"/>
  </r>
  <r>
    <s v="Hellung-Larsen"/>
    <x v="3"/>
    <x v="5"/>
    <n v="81180"/>
    <x v="2"/>
    <s v="IL"/>
    <x v="2"/>
  </r>
  <r>
    <s v="Zare"/>
    <x v="12"/>
    <x v="6"/>
    <n v="214020"/>
    <x v="10"/>
    <s v="UT"/>
    <x v="2"/>
  </r>
  <r>
    <s v="Neipper"/>
    <x v="0"/>
    <x v="6"/>
    <n v="171216"/>
    <x v="0"/>
    <s v="OR"/>
    <x v="2"/>
  </r>
  <r>
    <s v="Hellung-Larsen"/>
    <x v="4"/>
    <x v="7"/>
    <n v="12915"/>
    <x v="3"/>
    <s v="NV"/>
    <x v="2"/>
  </r>
  <r>
    <s v="Kotas"/>
    <x v="1"/>
    <x v="7"/>
    <n v="65190"/>
    <x v="1"/>
    <s v="NY"/>
    <x v="2"/>
  </r>
  <r>
    <s v="Kotas"/>
    <x v="1"/>
    <x v="7"/>
    <n v="36900"/>
    <x v="1"/>
    <s v="NY"/>
    <x v="2"/>
  </r>
  <r>
    <s v="Kotas"/>
    <x v="1"/>
    <x v="7"/>
    <n v="4305"/>
    <x v="1"/>
    <s v="NY"/>
    <x v="2"/>
  </r>
  <r>
    <s v="Sergienko"/>
    <x v="2"/>
    <x v="7"/>
    <n v="24600"/>
    <x v="2"/>
    <s v="IL"/>
    <x v="1"/>
  </r>
  <r>
    <s v="Freehafer"/>
    <x v="2"/>
    <x v="7"/>
    <n v="6457.5"/>
    <x v="2"/>
    <s v="IL"/>
    <x v="2"/>
  </r>
  <r>
    <s v="Cencini"/>
    <x v="8"/>
    <x v="7"/>
    <n v="244770"/>
    <x v="6"/>
    <s v="WI"/>
    <x v="2"/>
  </r>
  <r>
    <s v="Cencini"/>
    <x v="8"/>
    <x v="7"/>
    <n v="110700"/>
    <x v="6"/>
    <s v="WI"/>
    <x v="2"/>
  </r>
  <r>
    <s v="Kotas"/>
    <x v="1"/>
    <x v="8"/>
    <n v="34440"/>
    <x v="1"/>
    <s v="NY"/>
    <x v="2"/>
  </r>
  <r>
    <s v="Freehafer"/>
    <x v="2"/>
    <x v="9"/>
    <n v="30750"/>
    <x v="2"/>
    <s v="IL"/>
    <x v="1"/>
  </r>
  <r>
    <s v="Kotas"/>
    <x v="1"/>
    <x v="9"/>
    <n v="398520"/>
    <x v="1"/>
    <s v="NY"/>
    <x v="1"/>
  </r>
  <r>
    <s v="Hellung-Larsen"/>
    <x v="9"/>
    <x v="9"/>
    <n v="276750"/>
    <x v="7"/>
    <s v="FL"/>
    <x v="1"/>
  </r>
  <r>
    <s v="Hellung-Larsen"/>
    <x v="9"/>
    <x v="10"/>
    <n v="65651.25"/>
    <x v="7"/>
    <s v="FL"/>
    <x v="2"/>
  </r>
  <r>
    <s v="Zare"/>
    <x v="12"/>
    <x v="11"/>
    <n v="239850"/>
    <x v="10"/>
    <s v="UT"/>
    <x v="1"/>
  </r>
  <r>
    <s v="Giussani"/>
    <x v="8"/>
    <x v="12"/>
    <n v="83640"/>
    <x v="6"/>
    <s v="WI"/>
    <x v="2"/>
  </r>
  <r>
    <s v="Sergienko"/>
    <x v="0"/>
    <x v="12"/>
    <n v="123000"/>
    <x v="0"/>
    <s v="OR"/>
    <x v="1"/>
  </r>
  <r>
    <s v="Sergienko"/>
    <x v="11"/>
    <x v="12"/>
    <n v="14760"/>
    <x v="9"/>
    <s v="CA"/>
    <x v="2"/>
  </r>
  <r>
    <s v="Freehafer"/>
    <x v="13"/>
    <x v="12"/>
    <n v="98400"/>
    <x v="7"/>
    <s v="FL"/>
    <x v="1"/>
  </r>
  <r>
    <s v="Sergienko"/>
    <x v="11"/>
    <x v="13"/>
    <n v="237390"/>
    <x v="9"/>
    <s v="CA"/>
    <x v="2"/>
  </r>
  <r>
    <s v="Hellung-Larsen"/>
    <x v="9"/>
    <x v="13"/>
    <n v="35608.5"/>
    <x v="7"/>
    <s v="FL"/>
    <x v="2"/>
  </r>
  <r>
    <s v="Freehafer"/>
    <x v="6"/>
    <x v="13"/>
    <n v="59347.5"/>
    <x v="4"/>
    <s v="TN"/>
    <x v="2"/>
  </r>
  <r>
    <s v="Zare"/>
    <x v="12"/>
    <x v="13"/>
    <n v="11869.5"/>
    <x v="10"/>
    <s v="UT"/>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CC240F-397B-4B5F-83D0-CBAF1C1ADC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8" firstHeaderRow="1" firstDataRow="1" firstDataCol="1"/>
  <pivotFields count="7">
    <pivotField showAll="0"/>
    <pivotField axis="axisRow" showAll="0">
      <items count="15">
        <item x="10"/>
        <item x="4"/>
        <item x="6"/>
        <item x="11"/>
        <item x="7"/>
        <item x="1"/>
        <item x="8"/>
        <item x="0"/>
        <item x="12"/>
        <item x="2"/>
        <item x="13"/>
        <item x="5"/>
        <item x="3"/>
        <item x="9"/>
        <item t="default"/>
      </items>
    </pivotField>
    <pivotField axis="axisRow" showAll="0">
      <items count="15">
        <item x="0"/>
        <item x="1"/>
        <item x="2"/>
        <item x="3"/>
        <item x="4"/>
        <item x="5"/>
        <item x="6"/>
        <item x="7"/>
        <item x="8"/>
        <item x="9"/>
        <item x="10"/>
        <item x="11"/>
        <item x="12"/>
        <item x="13"/>
        <item t="default"/>
      </items>
    </pivotField>
    <pivotField dataField="1" showAll="0"/>
    <pivotField showAll="0"/>
    <pivotField showAll="0"/>
    <pivotField showAll="0"/>
  </pivotFields>
  <rowFields count="2">
    <field x="2"/>
    <field x="1"/>
  </rowFields>
  <rowItems count="55">
    <i>
      <x/>
    </i>
    <i r="1">
      <x v="5"/>
    </i>
    <i r="1">
      <x v="7"/>
    </i>
    <i r="1">
      <x v="9"/>
    </i>
    <i r="1">
      <x v="12"/>
    </i>
    <i>
      <x v="1"/>
    </i>
    <i r="1">
      <x v="1"/>
    </i>
    <i r="1">
      <x v="2"/>
    </i>
    <i r="1">
      <x v="4"/>
    </i>
    <i r="1">
      <x v="6"/>
    </i>
    <i r="1">
      <x v="9"/>
    </i>
    <i r="1">
      <x v="11"/>
    </i>
    <i>
      <x v="2"/>
    </i>
    <i r="1">
      <x v="4"/>
    </i>
    <i r="1">
      <x v="6"/>
    </i>
    <i r="1">
      <x v="7"/>
    </i>
    <i>
      <x v="3"/>
    </i>
    <i r="1">
      <x v="4"/>
    </i>
    <i>
      <x v="4"/>
    </i>
    <i r="1">
      <x/>
    </i>
    <i r="1">
      <x v="2"/>
    </i>
    <i r="1">
      <x v="13"/>
    </i>
    <i>
      <x v="5"/>
    </i>
    <i r="1">
      <x v="3"/>
    </i>
    <i r="1">
      <x v="9"/>
    </i>
    <i r="1">
      <x v="12"/>
    </i>
    <i>
      <x v="6"/>
    </i>
    <i r="1">
      <x v="7"/>
    </i>
    <i r="1">
      <x v="8"/>
    </i>
    <i>
      <x v="7"/>
    </i>
    <i r="1">
      <x v="1"/>
    </i>
    <i r="1">
      <x v="5"/>
    </i>
    <i r="1">
      <x v="6"/>
    </i>
    <i r="1">
      <x v="9"/>
    </i>
    <i>
      <x v="8"/>
    </i>
    <i r="1">
      <x v="5"/>
    </i>
    <i>
      <x v="9"/>
    </i>
    <i r="1">
      <x v="5"/>
    </i>
    <i r="1">
      <x v="9"/>
    </i>
    <i r="1">
      <x v="13"/>
    </i>
    <i>
      <x v="10"/>
    </i>
    <i r="1">
      <x v="13"/>
    </i>
    <i>
      <x v="11"/>
    </i>
    <i r="1">
      <x v="8"/>
    </i>
    <i>
      <x v="12"/>
    </i>
    <i r="1">
      <x v="3"/>
    </i>
    <i r="1">
      <x v="6"/>
    </i>
    <i r="1">
      <x v="7"/>
    </i>
    <i r="1">
      <x v="10"/>
    </i>
    <i>
      <x v="13"/>
    </i>
    <i r="1">
      <x v="2"/>
    </i>
    <i r="1">
      <x v="3"/>
    </i>
    <i r="1">
      <x v="8"/>
    </i>
    <i r="1">
      <x v="1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94E1A9-D08A-4F51-A5EE-20B1C1E68F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5" firstHeaderRow="1" firstDataRow="1" firstDataCol="1"/>
  <pivotFields count="7">
    <pivotField showAll="0"/>
    <pivotField showAll="0"/>
    <pivotField showAll="0"/>
    <pivotField dataField="1" showAll="0"/>
    <pivotField axis="axisRow" showAll="0">
      <items count="12">
        <item x="2"/>
        <item x="5"/>
        <item x="3"/>
        <item x="9"/>
        <item x="4"/>
        <item x="7"/>
        <item x="6"/>
        <item x="1"/>
        <item x="0"/>
        <item x="10"/>
        <item x="8"/>
        <item t="default"/>
      </items>
    </pivotField>
    <pivotField showAll="0"/>
    <pivotField showAll="0"/>
  </pivotFields>
  <rowFields count="1">
    <field x="4"/>
  </rowFields>
  <rowItems count="12">
    <i>
      <x/>
    </i>
    <i>
      <x v="1"/>
    </i>
    <i>
      <x v="2"/>
    </i>
    <i>
      <x v="3"/>
    </i>
    <i>
      <x v="4"/>
    </i>
    <i>
      <x v="5"/>
    </i>
    <i>
      <x v="6"/>
    </i>
    <i>
      <x v="7"/>
    </i>
    <i>
      <x v="8"/>
    </i>
    <i>
      <x v="9"/>
    </i>
    <i>
      <x v="10"/>
    </i>
    <i t="grand">
      <x/>
    </i>
  </rowItems>
  <colItems count="1">
    <i/>
  </colItems>
  <dataFields count="1">
    <dataField name="Sum of Sales" fld="3" baseField="0" baseItem="0"/>
  </dataFields>
  <chartFormats count="1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1" format="6">
      <pivotArea type="data" outline="0" fieldPosition="0">
        <references count="2">
          <reference field="4294967294" count="1" selected="0">
            <x v="0"/>
          </reference>
          <reference field="4" count="1" selected="0">
            <x v="5"/>
          </reference>
        </references>
      </pivotArea>
    </chartFormat>
    <chartFormat chart="1" format="7">
      <pivotArea type="data" outline="0" fieldPosition="0">
        <references count="2">
          <reference field="4294967294" count="1" selected="0">
            <x v="0"/>
          </reference>
          <reference field="4" count="1" selected="0">
            <x v="6"/>
          </reference>
        </references>
      </pivotArea>
    </chartFormat>
    <chartFormat chart="1" format="8">
      <pivotArea type="data" outline="0" fieldPosition="0">
        <references count="2">
          <reference field="4294967294" count="1" selected="0">
            <x v="0"/>
          </reference>
          <reference field="4" count="1" selected="0">
            <x v="7"/>
          </reference>
        </references>
      </pivotArea>
    </chartFormat>
    <chartFormat chart="1" format="9">
      <pivotArea type="data" outline="0" fieldPosition="0">
        <references count="2">
          <reference field="4294967294" count="1" selected="0">
            <x v="0"/>
          </reference>
          <reference field="4" count="1" selected="0">
            <x v="8"/>
          </reference>
        </references>
      </pivotArea>
    </chartFormat>
    <chartFormat chart="1" format="10">
      <pivotArea type="data" outline="0" fieldPosition="0">
        <references count="2">
          <reference field="4294967294" count="1" selected="0">
            <x v="0"/>
          </reference>
          <reference field="4" count="1" selected="0">
            <x v="9"/>
          </reference>
        </references>
      </pivotArea>
    </chartFormat>
    <chartFormat chart="1" format="11">
      <pivotArea type="data" outline="0" fieldPosition="0">
        <references count="2">
          <reference field="4294967294" count="1" selected="0">
            <x v="0"/>
          </reference>
          <reference field="4" count="1" selected="0">
            <x v="1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83DF4D-70CF-4DBD-B79B-C673CEC387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1" firstDataRow="2" firstDataCol="1"/>
  <pivotFields count="7">
    <pivotField showAll="0"/>
    <pivotField showAll="0"/>
    <pivotField showAll="0"/>
    <pivotField dataField="1" showAll="0"/>
    <pivotField axis="axisRow" showAll="0">
      <items count="12">
        <item x="2"/>
        <item x="5"/>
        <item x="3"/>
        <item x="9"/>
        <item x="4"/>
        <item x="7"/>
        <item x="6"/>
        <item x="1"/>
        <item x="0"/>
        <item x="10"/>
        <item x="8"/>
        <item t="default"/>
      </items>
    </pivotField>
    <pivotField showAll="0"/>
    <pivotField axis="axisCol" showAll="0">
      <items count="4">
        <item x="0"/>
        <item x="2"/>
        <item x="1"/>
        <item t="default"/>
      </items>
    </pivotField>
  </pivotFields>
  <rowFields count="1">
    <field x="4"/>
  </rowFields>
  <rowItems count="12">
    <i>
      <x/>
    </i>
    <i>
      <x v="1"/>
    </i>
    <i>
      <x v="2"/>
    </i>
    <i>
      <x v="3"/>
    </i>
    <i>
      <x v="4"/>
    </i>
    <i>
      <x v="5"/>
    </i>
    <i>
      <x v="6"/>
    </i>
    <i>
      <x v="7"/>
    </i>
    <i>
      <x v="8"/>
    </i>
    <i>
      <x v="9"/>
    </i>
    <i>
      <x v="10"/>
    </i>
    <i t="grand">
      <x/>
    </i>
  </rowItems>
  <colFields count="1">
    <field x="6"/>
  </colFields>
  <colItems count="4">
    <i>
      <x/>
    </i>
    <i>
      <x v="1"/>
    </i>
    <i>
      <x v="2"/>
    </i>
    <i t="grand">
      <x/>
    </i>
  </colItems>
  <dataFields count="1">
    <dataField name="Sum of Sales" fld="3" baseField="0" baseItem="0"/>
  </dataFields>
  <formats count="6">
    <format dxfId="5">
      <pivotArea type="origin" dataOnly="0" labelOnly="1" outline="0" fieldPosition="0"/>
    </format>
    <format dxfId="4">
      <pivotArea field="6" type="button" dataOnly="0" labelOnly="1" outline="0" axis="axisCol" fieldPosition="0"/>
    </format>
    <format dxfId="3">
      <pivotArea type="topRight" dataOnly="0" labelOnly="1" outline="0" fieldPosition="0"/>
    </format>
    <format dxfId="2">
      <pivotArea field="4" type="button" dataOnly="0" labelOnly="1" outline="0" axis="axisRow" fieldPosition="0"/>
    </format>
    <format dxfId="1">
      <pivotArea dataOnly="0" labelOnly="1" fieldPosition="0">
        <references count="1">
          <reference field="6"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anisation" xr10:uid="{A6CE7954-E9CB-4568-AFEC-5D571D1A93DB}" sourceName="Organisation">
  <pivotTables>
    <pivotTable tabId="5" name="PivotTable2"/>
  </pivotTables>
  <data>
    <tabular pivotCacheId="1741645737">
      <items count="14">
        <i x="10" s="1"/>
        <i x="4" s="1"/>
        <i x="6" s="1"/>
        <i x="11" s="1"/>
        <i x="7" s="1"/>
        <i x="1" s="1"/>
        <i x="8" s="1"/>
        <i x="0" s="1"/>
        <i x="12" s="1"/>
        <i x="2" s="1"/>
        <i x="13" s="1"/>
        <i x="5" s="1"/>
        <i x="3"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F68270-0B7A-49CD-9AB5-9116624FA5EF}" sourceName="Category">
  <pivotTables>
    <pivotTable tabId="5" name="PivotTable2"/>
  </pivotTables>
  <data>
    <tabular pivotCacheId="1741645737">
      <items count="14">
        <i x="0" s="1"/>
        <i x="1" s="1"/>
        <i x="2" s="1"/>
        <i x="3" s="1"/>
        <i x="4" s="1"/>
        <i x="5" s="1"/>
        <i x="6" s="1"/>
        <i x="7" s="1"/>
        <i x="8" s="1"/>
        <i x="9" s="1"/>
        <i x="10" s="1"/>
        <i x="11" s="1"/>
        <i x="12"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ganisation" xr10:uid="{DC8FDB37-9C1E-48FA-AF83-85A253D53DC9}" cache="Slicer_Organisation" caption="Organisation" rowHeight="234950"/>
  <slicer name="Category" xr10:uid="{7941E0CD-CED8-4B2A-AC5A-951686EADC4E}"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842A6-1F18-4BA2-BD77-784926FC9A60}">
  <sheetPr>
    <tabColor rgb="FF002060"/>
  </sheetPr>
  <dimension ref="A1:KZ50"/>
  <sheetViews>
    <sheetView showGridLines="0" tabSelected="1" defaultGridColor="0" colorId="57" workbookViewId="0">
      <selection activeCell="C27" sqref="C27"/>
    </sheetView>
  </sheetViews>
  <sheetFormatPr defaultRowHeight="14.4" x14ac:dyDescent="0.3"/>
  <cols>
    <col min="1" max="1" width="21.77734375" customWidth="1"/>
    <col min="2" max="2" width="12.77734375" customWidth="1"/>
    <col min="3" max="3" width="21.21875" customWidth="1"/>
    <col min="4" max="4" width="12.21875" customWidth="1"/>
    <col min="5" max="5" width="10.5546875" customWidth="1"/>
    <col min="6" max="6" width="12.44140625" customWidth="1"/>
  </cols>
  <sheetData>
    <row r="1" spans="1:312" s="4" customFormat="1" x14ac:dyDescent="0.3">
      <c r="A1" s="3" t="s">
        <v>40</v>
      </c>
      <c r="B1" s="3" t="s">
        <v>49</v>
      </c>
      <c r="C1" s="3" t="s">
        <v>36</v>
      </c>
      <c r="D1" s="3" t="s">
        <v>37</v>
      </c>
      <c r="E1" s="3" t="s">
        <v>38</v>
      </c>
      <c r="F1" s="3" t="s">
        <v>39</v>
      </c>
      <c r="G1" s="3" t="s">
        <v>64</v>
      </c>
      <c r="I1" s="5" t="s">
        <v>70</v>
      </c>
      <c r="P1" s="7">
        <v>1</v>
      </c>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row>
    <row r="2" spans="1:312" x14ac:dyDescent="0.3">
      <c r="A2" s="1" t="s">
        <v>41</v>
      </c>
      <c r="B2" s="1" t="s">
        <v>50</v>
      </c>
      <c r="C2" s="1" t="s">
        <v>0</v>
      </c>
      <c r="D2" s="1">
        <f>276*(123)</f>
        <v>33948</v>
      </c>
      <c r="E2" s="1" t="s">
        <v>1</v>
      </c>
      <c r="F2" s="1" t="s">
        <v>2</v>
      </c>
      <c r="G2" s="1" t="s">
        <v>65</v>
      </c>
      <c r="H2">
        <v>1</v>
      </c>
      <c r="I2" s="6" t="s">
        <v>71</v>
      </c>
    </row>
    <row r="3" spans="1:312" x14ac:dyDescent="0.3">
      <c r="A3" s="2" t="s">
        <v>42</v>
      </c>
      <c r="B3" s="1" t="s">
        <v>51</v>
      </c>
      <c r="C3" s="2" t="s">
        <v>0</v>
      </c>
      <c r="D3" s="1">
        <f>184*(123)</f>
        <v>22632</v>
      </c>
      <c r="E3" s="2" t="s">
        <v>3</v>
      </c>
      <c r="F3" s="2" t="s">
        <v>4</v>
      </c>
      <c r="G3" s="1" t="s">
        <v>65</v>
      </c>
    </row>
    <row r="4" spans="1:312" x14ac:dyDescent="0.3">
      <c r="A4" s="1" t="s">
        <v>43</v>
      </c>
      <c r="B4" s="1" t="s">
        <v>52</v>
      </c>
      <c r="C4" s="1" t="s">
        <v>0</v>
      </c>
      <c r="D4" s="1">
        <f>92*(123)</f>
        <v>11316</v>
      </c>
      <c r="E4" s="1" t="s">
        <v>5</v>
      </c>
      <c r="F4" s="1" t="s">
        <v>6</v>
      </c>
      <c r="G4" s="1" t="s">
        <v>65</v>
      </c>
    </row>
    <row r="5" spans="1:312" x14ac:dyDescent="0.3">
      <c r="A5" s="2" t="s">
        <v>44</v>
      </c>
      <c r="B5" s="1" t="s">
        <v>50</v>
      </c>
      <c r="C5" s="2" t="s">
        <v>0</v>
      </c>
      <c r="D5" s="1">
        <f>230*(123)</f>
        <v>28290</v>
      </c>
      <c r="E5" s="2" t="s">
        <v>1</v>
      </c>
      <c r="F5" s="2" t="s">
        <v>2</v>
      </c>
      <c r="G5" s="1" t="s">
        <v>65</v>
      </c>
      <c r="H5">
        <v>2</v>
      </c>
      <c r="I5" s="6" t="s">
        <v>72</v>
      </c>
    </row>
    <row r="6" spans="1:312" x14ac:dyDescent="0.3">
      <c r="A6" s="1" t="s">
        <v>42</v>
      </c>
      <c r="B6" s="1" t="s">
        <v>53</v>
      </c>
      <c r="C6" s="1" t="s">
        <v>0</v>
      </c>
      <c r="D6" s="1">
        <f>200*(123)</f>
        <v>24600</v>
      </c>
      <c r="E6" s="1" t="s">
        <v>5</v>
      </c>
      <c r="F6" s="1" t="s">
        <v>6</v>
      </c>
      <c r="G6" s="1" t="s">
        <v>65</v>
      </c>
    </row>
    <row r="7" spans="1:312" x14ac:dyDescent="0.3">
      <c r="A7" s="2" t="s">
        <v>42</v>
      </c>
      <c r="B7" s="1" t="s">
        <v>54</v>
      </c>
      <c r="C7" s="2" t="s">
        <v>7</v>
      </c>
      <c r="D7" s="1">
        <f>1400*(123)</f>
        <v>172200</v>
      </c>
      <c r="E7" s="2" t="s">
        <v>8</v>
      </c>
      <c r="F7" s="2" t="s">
        <v>9</v>
      </c>
      <c r="G7" s="1" t="s">
        <v>65</v>
      </c>
    </row>
    <row r="8" spans="1:312" x14ac:dyDescent="0.3">
      <c r="A8" s="1" t="s">
        <v>44</v>
      </c>
      <c r="B8" s="1" t="s">
        <v>55</v>
      </c>
      <c r="C8" s="1" t="s">
        <v>7</v>
      </c>
      <c r="D8" s="1">
        <f>270*(123)</f>
        <v>33210</v>
      </c>
      <c r="E8" s="1" t="s">
        <v>8</v>
      </c>
      <c r="F8" s="1" t="s">
        <v>9</v>
      </c>
      <c r="G8" s="1" t="s">
        <v>65</v>
      </c>
      <c r="H8">
        <v>3</v>
      </c>
      <c r="I8" s="6" t="s">
        <v>73</v>
      </c>
    </row>
    <row r="9" spans="1:312" x14ac:dyDescent="0.3">
      <c r="A9" s="2" t="s">
        <v>44</v>
      </c>
      <c r="B9" s="1" t="s">
        <v>55</v>
      </c>
      <c r="C9" s="2" t="s">
        <v>7</v>
      </c>
      <c r="D9" s="1">
        <f>920*(123)</f>
        <v>113160</v>
      </c>
      <c r="E9" s="2" t="s">
        <v>8</v>
      </c>
      <c r="F9" s="2" t="s">
        <v>9</v>
      </c>
      <c r="G9" s="1" t="s">
        <v>65</v>
      </c>
    </row>
    <row r="10" spans="1:312" x14ac:dyDescent="0.3">
      <c r="A10" s="1" t="s">
        <v>42</v>
      </c>
      <c r="B10" s="1" t="s">
        <v>56</v>
      </c>
      <c r="C10" s="1" t="s">
        <v>7</v>
      </c>
      <c r="D10" s="1">
        <f>13800*(123)</f>
        <v>1697400</v>
      </c>
      <c r="E10" s="1" t="s">
        <v>10</v>
      </c>
      <c r="F10" s="1" t="s">
        <v>11</v>
      </c>
      <c r="G10" s="1" t="s">
        <v>65</v>
      </c>
      <c r="H10">
        <v>4</v>
      </c>
      <c r="I10" s="6" t="s">
        <v>75</v>
      </c>
    </row>
    <row r="11" spans="1:312" x14ac:dyDescent="0.3">
      <c r="A11" s="2" t="s">
        <v>44</v>
      </c>
      <c r="B11" s="1" t="s">
        <v>52</v>
      </c>
      <c r="C11" s="2" t="s">
        <v>7</v>
      </c>
      <c r="D11" s="1">
        <f>598*(123)</f>
        <v>73554</v>
      </c>
      <c r="E11" s="2" t="s">
        <v>5</v>
      </c>
      <c r="F11" s="2" t="s">
        <v>6</v>
      </c>
      <c r="G11" s="1" t="s">
        <v>65</v>
      </c>
    </row>
    <row r="12" spans="1:312" x14ac:dyDescent="0.3">
      <c r="A12" s="1" t="s">
        <v>43</v>
      </c>
      <c r="B12" s="1" t="s">
        <v>57</v>
      </c>
      <c r="C12" s="1" t="s">
        <v>7</v>
      </c>
      <c r="D12" s="1">
        <f>1218*(123)</f>
        <v>149814</v>
      </c>
      <c r="E12" s="1" t="s">
        <v>12</v>
      </c>
      <c r="F12" s="1" t="s">
        <v>13</v>
      </c>
      <c r="G12" s="1" t="s">
        <v>67</v>
      </c>
      <c r="H12">
        <v>5</v>
      </c>
      <c r="I12" s="6" t="s">
        <v>74</v>
      </c>
    </row>
    <row r="13" spans="1:312" x14ac:dyDescent="0.3">
      <c r="A13" s="2" t="s">
        <v>41</v>
      </c>
      <c r="B13" s="1" t="s">
        <v>58</v>
      </c>
      <c r="C13" s="2" t="s">
        <v>7</v>
      </c>
      <c r="D13" s="1">
        <f>4200*(123)</f>
        <v>516600</v>
      </c>
      <c r="E13" s="2" t="s">
        <v>14</v>
      </c>
      <c r="F13" s="2" t="s">
        <v>15</v>
      </c>
      <c r="G13" s="1" t="s">
        <v>65</v>
      </c>
    </row>
    <row r="14" spans="1:312" x14ac:dyDescent="0.3">
      <c r="A14" s="1" t="s">
        <v>43</v>
      </c>
      <c r="B14" s="1" t="s">
        <v>56</v>
      </c>
      <c r="C14" s="1" t="s">
        <v>7</v>
      </c>
      <c r="D14" s="1">
        <f>230*(123)</f>
        <v>28290</v>
      </c>
      <c r="E14" s="1" t="s">
        <v>10</v>
      </c>
      <c r="F14" s="1" t="s">
        <v>11</v>
      </c>
      <c r="G14" s="1" t="s">
        <v>67</v>
      </c>
      <c r="H14">
        <v>6</v>
      </c>
      <c r="I14" s="6" t="s">
        <v>76</v>
      </c>
    </row>
    <row r="15" spans="1:312" x14ac:dyDescent="0.3">
      <c r="A15" s="2" t="s">
        <v>45</v>
      </c>
      <c r="B15" s="1" t="s">
        <v>57</v>
      </c>
      <c r="C15" s="2" t="s">
        <v>16</v>
      </c>
      <c r="D15" s="1">
        <f>127.5*(123)</f>
        <v>15682.5</v>
      </c>
      <c r="E15" s="2" t="s">
        <v>12</v>
      </c>
      <c r="F15" s="2" t="s">
        <v>13</v>
      </c>
      <c r="G15" s="1" t="s">
        <v>65</v>
      </c>
    </row>
    <row r="16" spans="1:312" x14ac:dyDescent="0.3">
      <c r="A16" s="1" t="s">
        <v>45</v>
      </c>
      <c r="B16" s="1" t="s">
        <v>50</v>
      </c>
      <c r="C16" s="1" t="s">
        <v>16</v>
      </c>
      <c r="D16" s="1">
        <f>1275*(123)</f>
        <v>156825</v>
      </c>
      <c r="E16" s="1" t="s">
        <v>1</v>
      </c>
      <c r="F16" s="1" t="s">
        <v>2</v>
      </c>
      <c r="G16" s="1" t="s">
        <v>65</v>
      </c>
      <c r="H16">
        <v>7</v>
      </c>
      <c r="I16" s="6" t="s">
        <v>68</v>
      </c>
      <c r="M16" s="15" t="s">
        <v>83</v>
      </c>
      <c r="N16" s="15"/>
      <c r="O16" s="15"/>
    </row>
    <row r="17" spans="1:9" x14ac:dyDescent="0.3">
      <c r="A17" s="2" t="s">
        <v>46</v>
      </c>
      <c r="B17" s="1" t="s">
        <v>58</v>
      </c>
      <c r="C17" s="2" t="s">
        <v>16</v>
      </c>
      <c r="D17" s="1">
        <f>127.5*(123)</f>
        <v>15682.5</v>
      </c>
      <c r="E17" s="2" t="s">
        <v>14</v>
      </c>
      <c r="F17" s="2" t="s">
        <v>15</v>
      </c>
      <c r="G17" s="1" t="s">
        <v>65</v>
      </c>
    </row>
    <row r="18" spans="1:9" x14ac:dyDescent="0.3">
      <c r="A18" s="1" t="s">
        <v>44</v>
      </c>
      <c r="B18" s="1" t="s">
        <v>50</v>
      </c>
      <c r="C18" s="1" t="s">
        <v>16</v>
      </c>
      <c r="D18" s="1">
        <f>510*(123)</f>
        <v>62730</v>
      </c>
      <c r="E18" s="1" t="s">
        <v>1</v>
      </c>
      <c r="F18" s="1" t="s">
        <v>2</v>
      </c>
      <c r="G18" s="1" t="s">
        <v>67</v>
      </c>
      <c r="H18">
        <v>8</v>
      </c>
      <c r="I18" s="6" t="s">
        <v>69</v>
      </c>
    </row>
    <row r="19" spans="1:9" x14ac:dyDescent="0.3">
      <c r="A19" s="2" t="s">
        <v>41</v>
      </c>
      <c r="B19" s="1" t="s">
        <v>58</v>
      </c>
      <c r="C19" s="2" t="s">
        <v>16</v>
      </c>
      <c r="D19" s="1">
        <f>510*(123)</f>
        <v>62730</v>
      </c>
      <c r="E19" s="2" t="s">
        <v>14</v>
      </c>
      <c r="F19" s="2" t="s">
        <v>15</v>
      </c>
      <c r="G19" s="1" t="s">
        <v>66</v>
      </c>
    </row>
    <row r="20" spans="1:9" x14ac:dyDescent="0.3">
      <c r="A20" s="1" t="s">
        <v>43</v>
      </c>
      <c r="B20" s="1" t="s">
        <v>57</v>
      </c>
      <c r="C20" s="1" t="s">
        <v>17</v>
      </c>
      <c r="D20" s="1">
        <f>1960*(123)</f>
        <v>241080</v>
      </c>
      <c r="E20" s="1" t="s">
        <v>12</v>
      </c>
      <c r="F20" s="1" t="s">
        <v>13</v>
      </c>
      <c r="G20" s="1" t="s">
        <v>66</v>
      </c>
    </row>
    <row r="21" spans="1:9" x14ac:dyDescent="0.3">
      <c r="A21" s="2" t="s">
        <v>42</v>
      </c>
      <c r="B21" s="1" t="s">
        <v>59</v>
      </c>
      <c r="C21" s="2" t="s">
        <v>18</v>
      </c>
      <c r="D21" s="1">
        <f>552*(123)</f>
        <v>67896</v>
      </c>
      <c r="E21" s="2" t="s">
        <v>19</v>
      </c>
      <c r="F21" s="2" t="s">
        <v>20</v>
      </c>
      <c r="G21" s="1" t="s">
        <v>66</v>
      </c>
    </row>
    <row r="22" spans="1:9" x14ac:dyDescent="0.3">
      <c r="A22" s="1" t="s">
        <v>43</v>
      </c>
      <c r="B22" s="1" t="s">
        <v>56</v>
      </c>
      <c r="C22" s="1" t="s">
        <v>18</v>
      </c>
      <c r="D22" s="1">
        <f>920*(123)</f>
        <v>113160</v>
      </c>
      <c r="E22" s="1" t="s">
        <v>10</v>
      </c>
      <c r="F22" s="1" t="s">
        <v>11</v>
      </c>
      <c r="G22" s="1" t="s">
        <v>66</v>
      </c>
    </row>
    <row r="23" spans="1:9" x14ac:dyDescent="0.3">
      <c r="A23" s="2" t="s">
        <v>43</v>
      </c>
      <c r="B23" s="1" t="s">
        <v>60</v>
      </c>
      <c r="C23" s="2" t="s">
        <v>18</v>
      </c>
      <c r="D23" s="1">
        <f>736*(123)</f>
        <v>90528</v>
      </c>
      <c r="E23" s="2" t="s">
        <v>21</v>
      </c>
      <c r="F23" s="2" t="s">
        <v>22</v>
      </c>
      <c r="G23" s="1" t="s">
        <v>66</v>
      </c>
    </row>
    <row r="24" spans="1:9" x14ac:dyDescent="0.3">
      <c r="A24" s="1" t="s">
        <v>43</v>
      </c>
      <c r="B24" s="1" t="s">
        <v>52</v>
      </c>
      <c r="C24" s="1" t="s">
        <v>23</v>
      </c>
      <c r="D24" s="1">
        <f>220*(123)</f>
        <v>27060</v>
      </c>
      <c r="E24" s="1" t="s">
        <v>5</v>
      </c>
      <c r="F24" s="1" t="s">
        <v>6</v>
      </c>
      <c r="G24" s="1" t="s">
        <v>66</v>
      </c>
    </row>
    <row r="25" spans="1:9" x14ac:dyDescent="0.3">
      <c r="A25" s="2" t="s">
        <v>44</v>
      </c>
      <c r="B25" s="1" t="s">
        <v>61</v>
      </c>
      <c r="C25" s="2" t="s">
        <v>23</v>
      </c>
      <c r="D25" s="1">
        <f>500*(123)</f>
        <v>61500</v>
      </c>
      <c r="E25" s="2" t="s">
        <v>24</v>
      </c>
      <c r="F25" s="2" t="s">
        <v>25</v>
      </c>
      <c r="G25" s="1" t="s">
        <v>66</v>
      </c>
    </row>
    <row r="26" spans="1:9" x14ac:dyDescent="0.3">
      <c r="A26" s="1" t="s">
        <v>42</v>
      </c>
      <c r="B26" s="1" t="s">
        <v>53</v>
      </c>
      <c r="C26" s="1" t="s">
        <v>23</v>
      </c>
      <c r="D26" s="1">
        <f>660*(123)</f>
        <v>81180</v>
      </c>
      <c r="E26" s="1" t="s">
        <v>5</v>
      </c>
      <c r="F26" s="1" t="s">
        <v>6</v>
      </c>
      <c r="G26" s="1" t="s">
        <v>66</v>
      </c>
    </row>
    <row r="27" spans="1:9" x14ac:dyDescent="0.3">
      <c r="A27" s="2" t="s">
        <v>47</v>
      </c>
      <c r="B27" s="1" t="s">
        <v>62</v>
      </c>
      <c r="C27" s="2" t="s">
        <v>26</v>
      </c>
      <c r="D27" s="1">
        <f>1740*(123)</f>
        <v>214020</v>
      </c>
      <c r="E27" s="2" t="s">
        <v>27</v>
      </c>
      <c r="F27" s="2" t="s">
        <v>28</v>
      </c>
      <c r="G27" s="1" t="s">
        <v>66</v>
      </c>
    </row>
    <row r="28" spans="1:9" x14ac:dyDescent="0.3">
      <c r="A28" s="1" t="s">
        <v>41</v>
      </c>
      <c r="B28" s="1" t="s">
        <v>50</v>
      </c>
      <c r="C28" s="1" t="s">
        <v>26</v>
      </c>
      <c r="D28" s="1">
        <f>1392*(123)</f>
        <v>171216</v>
      </c>
      <c r="E28" s="1" t="s">
        <v>1</v>
      </c>
      <c r="F28" s="1" t="s">
        <v>2</v>
      </c>
      <c r="G28" s="1" t="s">
        <v>66</v>
      </c>
    </row>
    <row r="29" spans="1:9" x14ac:dyDescent="0.3">
      <c r="A29" s="2" t="s">
        <v>42</v>
      </c>
      <c r="B29" s="1" t="s">
        <v>54</v>
      </c>
      <c r="C29" s="2" t="s">
        <v>29</v>
      </c>
      <c r="D29" s="1">
        <f>105*(123)</f>
        <v>12915</v>
      </c>
      <c r="E29" s="2" t="s">
        <v>8</v>
      </c>
      <c r="F29" s="2" t="s">
        <v>9</v>
      </c>
      <c r="G29" s="1" t="s">
        <v>66</v>
      </c>
    </row>
    <row r="30" spans="1:9" x14ac:dyDescent="0.3">
      <c r="A30" s="1" t="s">
        <v>45</v>
      </c>
      <c r="B30" s="1" t="s">
        <v>51</v>
      </c>
      <c r="C30" s="1" t="s">
        <v>29</v>
      </c>
      <c r="D30" s="1">
        <f>530*(123)</f>
        <v>65190</v>
      </c>
      <c r="E30" s="1" t="s">
        <v>3</v>
      </c>
      <c r="F30" s="1" t="s">
        <v>4</v>
      </c>
      <c r="G30" s="1" t="s">
        <v>66</v>
      </c>
    </row>
    <row r="31" spans="1:9" x14ac:dyDescent="0.3">
      <c r="A31" s="2" t="s">
        <v>45</v>
      </c>
      <c r="B31" s="1" t="s">
        <v>51</v>
      </c>
      <c r="C31" s="2" t="s">
        <v>29</v>
      </c>
      <c r="D31" s="1">
        <f>300*(123)</f>
        <v>36900</v>
      </c>
      <c r="E31" s="2" t="s">
        <v>3</v>
      </c>
      <c r="F31" s="2" t="s">
        <v>4</v>
      </c>
      <c r="G31" s="1" t="s">
        <v>66</v>
      </c>
    </row>
    <row r="32" spans="1:9" x14ac:dyDescent="0.3">
      <c r="A32" s="1" t="s">
        <v>45</v>
      </c>
      <c r="B32" s="1" t="s">
        <v>51</v>
      </c>
      <c r="C32" s="1" t="s">
        <v>29</v>
      </c>
      <c r="D32" s="1">
        <f>35*(123)</f>
        <v>4305</v>
      </c>
      <c r="E32" s="1" t="s">
        <v>3</v>
      </c>
      <c r="F32" s="1" t="s">
        <v>4</v>
      </c>
      <c r="G32" s="1" t="s">
        <v>66</v>
      </c>
    </row>
    <row r="33" spans="1:7" x14ac:dyDescent="0.3">
      <c r="A33" s="2" t="s">
        <v>44</v>
      </c>
      <c r="B33" s="1" t="s">
        <v>52</v>
      </c>
      <c r="C33" s="2" t="s">
        <v>29</v>
      </c>
      <c r="D33" s="1">
        <f>200*(123)</f>
        <v>24600</v>
      </c>
      <c r="E33" s="2" t="s">
        <v>5</v>
      </c>
      <c r="F33" s="2" t="s">
        <v>6</v>
      </c>
      <c r="G33" s="1" t="s">
        <v>67</v>
      </c>
    </row>
    <row r="34" spans="1:7" x14ac:dyDescent="0.3">
      <c r="A34" s="1" t="s">
        <v>43</v>
      </c>
      <c r="B34" s="1" t="s">
        <v>52</v>
      </c>
      <c r="C34" s="1" t="s">
        <v>29</v>
      </c>
      <c r="D34" s="1">
        <f>52.5*(123)</f>
        <v>6457.5</v>
      </c>
      <c r="E34" s="1" t="s">
        <v>5</v>
      </c>
      <c r="F34" s="1" t="s">
        <v>6</v>
      </c>
      <c r="G34" s="1" t="s">
        <v>66</v>
      </c>
    </row>
    <row r="35" spans="1:7" x14ac:dyDescent="0.3">
      <c r="A35" s="2" t="s">
        <v>46</v>
      </c>
      <c r="B35" s="1" t="s">
        <v>58</v>
      </c>
      <c r="C35" s="2" t="s">
        <v>29</v>
      </c>
      <c r="D35" s="1">
        <f>1990*(123)</f>
        <v>244770</v>
      </c>
      <c r="E35" s="2" t="s">
        <v>14</v>
      </c>
      <c r="F35" s="2" t="s">
        <v>15</v>
      </c>
      <c r="G35" s="1" t="s">
        <v>66</v>
      </c>
    </row>
    <row r="36" spans="1:7" x14ac:dyDescent="0.3">
      <c r="A36" s="1" t="s">
        <v>46</v>
      </c>
      <c r="B36" s="1" t="s">
        <v>58</v>
      </c>
      <c r="C36" s="1" t="s">
        <v>29</v>
      </c>
      <c r="D36" s="1">
        <f>900*(123)</f>
        <v>110700</v>
      </c>
      <c r="E36" s="1" t="s">
        <v>14</v>
      </c>
      <c r="F36" s="1" t="s">
        <v>15</v>
      </c>
      <c r="G36" s="1" t="s">
        <v>66</v>
      </c>
    </row>
    <row r="37" spans="1:7" x14ac:dyDescent="0.3">
      <c r="A37" s="2" t="s">
        <v>45</v>
      </c>
      <c r="B37" s="1" t="s">
        <v>51</v>
      </c>
      <c r="C37" s="2" t="s">
        <v>30</v>
      </c>
      <c r="D37" s="1">
        <f>280*(123)</f>
        <v>34440</v>
      </c>
      <c r="E37" s="2" t="s">
        <v>3</v>
      </c>
      <c r="F37" s="2" t="s">
        <v>4</v>
      </c>
      <c r="G37" s="1" t="s">
        <v>66</v>
      </c>
    </row>
    <row r="38" spans="1:7" x14ac:dyDescent="0.3">
      <c r="A38" s="1" t="s">
        <v>43</v>
      </c>
      <c r="B38" s="1" t="s">
        <v>52</v>
      </c>
      <c r="C38" s="1" t="s">
        <v>31</v>
      </c>
      <c r="D38" s="1">
        <f>250*(123)</f>
        <v>30750</v>
      </c>
      <c r="E38" s="1" t="s">
        <v>5</v>
      </c>
      <c r="F38" s="1" t="s">
        <v>6</v>
      </c>
      <c r="G38" s="1" t="s">
        <v>67</v>
      </c>
    </row>
    <row r="39" spans="1:7" x14ac:dyDescent="0.3">
      <c r="A39" s="2" t="s">
        <v>45</v>
      </c>
      <c r="B39" s="1" t="s">
        <v>51</v>
      </c>
      <c r="C39" s="2" t="s">
        <v>31</v>
      </c>
      <c r="D39" s="1">
        <f>3240*(123)</f>
        <v>398520</v>
      </c>
      <c r="E39" s="2" t="s">
        <v>3</v>
      </c>
      <c r="F39" s="2" t="s">
        <v>4</v>
      </c>
      <c r="G39" s="1" t="s">
        <v>67</v>
      </c>
    </row>
    <row r="40" spans="1:7" x14ac:dyDescent="0.3">
      <c r="A40" s="1" t="s">
        <v>42</v>
      </c>
      <c r="B40" s="1" t="s">
        <v>59</v>
      </c>
      <c r="C40" s="1" t="s">
        <v>31</v>
      </c>
      <c r="D40" s="1">
        <f>2250*(123)</f>
        <v>276750</v>
      </c>
      <c r="E40" s="1" t="s">
        <v>19</v>
      </c>
      <c r="F40" s="1" t="s">
        <v>20</v>
      </c>
      <c r="G40" s="1" t="s">
        <v>67</v>
      </c>
    </row>
    <row r="41" spans="1:7" x14ac:dyDescent="0.3">
      <c r="A41" s="2" t="s">
        <v>42</v>
      </c>
      <c r="B41" s="1" t="s">
        <v>59</v>
      </c>
      <c r="C41" s="2" t="s">
        <v>32</v>
      </c>
      <c r="D41" s="1">
        <f>533.75*(123)</f>
        <v>65651.25</v>
      </c>
      <c r="E41" s="2" t="s">
        <v>19</v>
      </c>
      <c r="F41" s="2" t="s">
        <v>20</v>
      </c>
      <c r="G41" s="1" t="s">
        <v>66</v>
      </c>
    </row>
    <row r="42" spans="1:7" x14ac:dyDescent="0.3">
      <c r="A42" s="1" t="s">
        <v>47</v>
      </c>
      <c r="B42" s="1" t="s">
        <v>62</v>
      </c>
      <c r="C42" s="1" t="s">
        <v>33</v>
      </c>
      <c r="D42" s="1">
        <f>1950*(123)</f>
        <v>239850</v>
      </c>
      <c r="E42" s="1" t="s">
        <v>27</v>
      </c>
      <c r="F42" s="1" t="s">
        <v>28</v>
      </c>
      <c r="G42" s="1" t="s">
        <v>67</v>
      </c>
    </row>
    <row r="43" spans="1:7" x14ac:dyDescent="0.3">
      <c r="A43" s="2" t="s">
        <v>48</v>
      </c>
      <c r="B43" s="1" t="s">
        <v>58</v>
      </c>
      <c r="C43" s="2" t="s">
        <v>34</v>
      </c>
      <c r="D43" s="1">
        <f>680*(123)</f>
        <v>83640</v>
      </c>
      <c r="E43" s="2" t="s">
        <v>14</v>
      </c>
      <c r="F43" s="2" t="s">
        <v>15</v>
      </c>
      <c r="G43" s="1" t="s">
        <v>66</v>
      </c>
    </row>
    <row r="44" spans="1:7" x14ac:dyDescent="0.3">
      <c r="A44" s="1" t="s">
        <v>44</v>
      </c>
      <c r="B44" s="1" t="s">
        <v>50</v>
      </c>
      <c r="C44" s="1" t="s">
        <v>34</v>
      </c>
      <c r="D44" s="1">
        <f>1000*(123)</f>
        <v>123000</v>
      </c>
      <c r="E44" s="1" t="s">
        <v>1</v>
      </c>
      <c r="F44" s="1" t="s">
        <v>2</v>
      </c>
      <c r="G44" s="1" t="s">
        <v>67</v>
      </c>
    </row>
    <row r="45" spans="1:7" x14ac:dyDescent="0.3">
      <c r="A45" s="2" t="s">
        <v>44</v>
      </c>
      <c r="B45" s="1" t="s">
        <v>61</v>
      </c>
      <c r="C45" s="2" t="s">
        <v>34</v>
      </c>
      <c r="D45" s="1">
        <f>120*(123)</f>
        <v>14760</v>
      </c>
      <c r="E45" s="2" t="s">
        <v>24</v>
      </c>
      <c r="F45" s="2" t="s">
        <v>25</v>
      </c>
      <c r="G45" s="1" t="s">
        <v>66</v>
      </c>
    </row>
    <row r="46" spans="1:7" x14ac:dyDescent="0.3">
      <c r="A46" s="1" t="s">
        <v>43</v>
      </c>
      <c r="B46" s="1" t="s">
        <v>63</v>
      </c>
      <c r="C46" s="1" t="s">
        <v>34</v>
      </c>
      <c r="D46" s="1">
        <f>800*(123)</f>
        <v>98400</v>
      </c>
      <c r="E46" s="1" t="s">
        <v>19</v>
      </c>
      <c r="F46" s="1" t="s">
        <v>20</v>
      </c>
      <c r="G46" s="1" t="s">
        <v>67</v>
      </c>
    </row>
    <row r="47" spans="1:7" x14ac:dyDescent="0.3">
      <c r="A47" s="2" t="s">
        <v>44</v>
      </c>
      <c r="B47" s="1" t="s">
        <v>61</v>
      </c>
      <c r="C47" s="2" t="s">
        <v>35</v>
      </c>
      <c r="D47" s="1">
        <f>1930*(123)</f>
        <v>237390</v>
      </c>
      <c r="E47" s="2" t="s">
        <v>24</v>
      </c>
      <c r="F47" s="2" t="s">
        <v>25</v>
      </c>
      <c r="G47" s="1" t="s">
        <v>66</v>
      </c>
    </row>
    <row r="48" spans="1:7" x14ac:dyDescent="0.3">
      <c r="A48" s="1" t="s">
        <v>42</v>
      </c>
      <c r="B48" s="1" t="s">
        <v>59</v>
      </c>
      <c r="C48" s="1" t="s">
        <v>35</v>
      </c>
      <c r="D48" s="1">
        <f>289.5*(123)</f>
        <v>35608.5</v>
      </c>
      <c r="E48" s="1" t="s">
        <v>19</v>
      </c>
      <c r="F48" s="1" t="s">
        <v>20</v>
      </c>
      <c r="G48" s="1" t="s">
        <v>66</v>
      </c>
    </row>
    <row r="49" spans="1:7" x14ac:dyDescent="0.3">
      <c r="A49" s="2" t="s">
        <v>43</v>
      </c>
      <c r="B49" s="1" t="s">
        <v>56</v>
      </c>
      <c r="C49" s="2" t="s">
        <v>35</v>
      </c>
      <c r="D49" s="1">
        <f>482.5*(123)</f>
        <v>59347.5</v>
      </c>
      <c r="E49" s="2" t="s">
        <v>10</v>
      </c>
      <c r="F49" s="2" t="s">
        <v>11</v>
      </c>
      <c r="G49" s="1" t="s">
        <v>66</v>
      </c>
    </row>
    <row r="50" spans="1:7" x14ac:dyDescent="0.3">
      <c r="A50" s="1" t="s">
        <v>47</v>
      </c>
      <c r="B50" s="1" t="s">
        <v>62</v>
      </c>
      <c r="C50" s="1" t="s">
        <v>35</v>
      </c>
      <c r="D50" s="1">
        <f>96.5*(123)</f>
        <v>11869.5</v>
      </c>
      <c r="E50" s="1" t="s">
        <v>27</v>
      </c>
      <c r="F50" s="1" t="s">
        <v>28</v>
      </c>
      <c r="G50" s="1" t="s">
        <v>66</v>
      </c>
    </row>
  </sheetData>
  <customSheetViews>
    <customSheetView guid="{5A044EAA-9A27-4B18-867A-B1070A85F28C}">
      <pageMargins left="0.7" right="0.7" top="0.75" bottom="0.75" header="0.3" footer="0.3"/>
    </customSheetView>
    <customSheetView guid="{60B05185-D49C-44FB-8BD4-78231B907B14}">
      <pageMargins left="0.7" right="0.7" top="0.75" bottom="0.75" header="0.3" footer="0.3"/>
    </customSheetView>
  </customSheetView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8762C-CD2E-442C-B667-66FB707EA3F7}">
  <dimension ref="A1:X58"/>
  <sheetViews>
    <sheetView zoomScale="53" zoomScaleNormal="100" workbookViewId="0">
      <selection activeCell="S1" sqref="S1:X2"/>
    </sheetView>
  </sheetViews>
  <sheetFormatPr defaultRowHeight="14.4" x14ac:dyDescent="0.3"/>
  <cols>
    <col min="1" max="1" width="34.88671875" bestFit="1" customWidth="1"/>
    <col min="2" max="2" width="17.109375" bestFit="1" customWidth="1"/>
  </cols>
  <sheetData>
    <row r="1" spans="1:24" x14ac:dyDescent="0.3">
      <c r="S1" s="12" t="s">
        <v>85</v>
      </c>
      <c r="T1" s="14"/>
      <c r="U1" s="14"/>
      <c r="V1" s="14"/>
      <c r="W1" s="14"/>
      <c r="X1" s="14"/>
    </row>
    <row r="2" spans="1:24" x14ac:dyDescent="0.3">
      <c r="S2" s="14"/>
      <c r="T2" s="14"/>
      <c r="U2" s="14"/>
      <c r="V2" s="14"/>
      <c r="W2" s="14"/>
      <c r="X2" s="14"/>
    </row>
    <row r="3" spans="1:24" x14ac:dyDescent="0.3">
      <c r="A3" s="8" t="s">
        <v>77</v>
      </c>
      <c r="B3" t="s">
        <v>79</v>
      </c>
    </row>
    <row r="4" spans="1:24" x14ac:dyDescent="0.3">
      <c r="A4" s="9" t="s">
        <v>0</v>
      </c>
      <c r="B4" s="16">
        <v>120786</v>
      </c>
    </row>
    <row r="5" spans="1:24" x14ac:dyDescent="0.3">
      <c r="A5" s="10" t="s">
        <v>51</v>
      </c>
      <c r="B5" s="16">
        <v>22632</v>
      </c>
    </row>
    <row r="6" spans="1:24" x14ac:dyDescent="0.3">
      <c r="A6" s="10" t="s">
        <v>50</v>
      </c>
      <c r="B6" s="16">
        <v>62238</v>
      </c>
    </row>
    <row r="7" spans="1:24" x14ac:dyDescent="0.3">
      <c r="A7" s="10" t="s">
        <v>52</v>
      </c>
      <c r="B7" s="16">
        <v>11316</v>
      </c>
    </row>
    <row r="8" spans="1:24" x14ac:dyDescent="0.3">
      <c r="A8" s="10" t="s">
        <v>53</v>
      </c>
      <c r="B8" s="16">
        <v>24600</v>
      </c>
    </row>
    <row r="9" spans="1:24" x14ac:dyDescent="0.3">
      <c r="A9" s="9" t="s">
        <v>7</v>
      </c>
      <c r="B9" s="16">
        <v>2784228</v>
      </c>
    </row>
    <row r="10" spans="1:24" x14ac:dyDescent="0.3">
      <c r="A10" s="10" t="s">
        <v>54</v>
      </c>
      <c r="B10" s="16">
        <v>172200</v>
      </c>
    </row>
    <row r="11" spans="1:24" x14ac:dyDescent="0.3">
      <c r="A11" s="10" t="s">
        <v>56</v>
      </c>
      <c r="B11" s="16">
        <v>1725690</v>
      </c>
    </row>
    <row r="12" spans="1:24" x14ac:dyDescent="0.3">
      <c r="A12" s="10" t="s">
        <v>57</v>
      </c>
      <c r="B12" s="16">
        <v>149814</v>
      </c>
    </row>
    <row r="13" spans="1:24" x14ac:dyDescent="0.3">
      <c r="A13" s="10" t="s">
        <v>58</v>
      </c>
      <c r="B13" s="16">
        <v>516600</v>
      </c>
    </row>
    <row r="14" spans="1:24" x14ac:dyDescent="0.3">
      <c r="A14" s="10" t="s">
        <v>52</v>
      </c>
      <c r="B14" s="16">
        <v>73554</v>
      </c>
    </row>
    <row r="15" spans="1:24" x14ac:dyDescent="0.3">
      <c r="A15" s="10" t="s">
        <v>55</v>
      </c>
      <c r="B15" s="16">
        <v>146370</v>
      </c>
    </row>
    <row r="16" spans="1:24" x14ac:dyDescent="0.3">
      <c r="A16" s="9" t="s">
        <v>16</v>
      </c>
      <c r="B16" s="16">
        <v>313650</v>
      </c>
      <c r="G16" s="12" t="s">
        <v>81</v>
      </c>
      <c r="H16" s="13"/>
      <c r="I16" s="13"/>
      <c r="J16" s="13"/>
      <c r="K16" s="13"/>
      <c r="L16" s="13"/>
    </row>
    <row r="17" spans="1:12" x14ac:dyDescent="0.3">
      <c r="A17" s="10" t="s">
        <v>57</v>
      </c>
      <c r="B17" s="16">
        <v>15682.5</v>
      </c>
      <c r="G17" s="13"/>
      <c r="H17" s="13"/>
      <c r="I17" s="13"/>
      <c r="J17" s="13"/>
      <c r="K17" s="13"/>
      <c r="L17" s="13"/>
    </row>
    <row r="18" spans="1:12" x14ac:dyDescent="0.3">
      <c r="A18" s="10" t="s">
        <v>58</v>
      </c>
      <c r="B18" s="16">
        <v>78412.5</v>
      </c>
    </row>
    <row r="19" spans="1:12" x14ac:dyDescent="0.3">
      <c r="A19" s="10" t="s">
        <v>50</v>
      </c>
      <c r="B19" s="16">
        <v>219555</v>
      </c>
    </row>
    <row r="20" spans="1:12" x14ac:dyDescent="0.3">
      <c r="A20" s="9" t="s">
        <v>17</v>
      </c>
      <c r="B20" s="16">
        <v>241080</v>
      </c>
    </row>
    <row r="21" spans="1:12" x14ac:dyDescent="0.3">
      <c r="A21" s="10" t="s">
        <v>57</v>
      </c>
      <c r="B21" s="16">
        <v>241080</v>
      </c>
    </row>
    <row r="22" spans="1:12" x14ac:dyDescent="0.3">
      <c r="A22" s="9" t="s">
        <v>18</v>
      </c>
      <c r="B22" s="16">
        <v>271584</v>
      </c>
    </row>
    <row r="23" spans="1:12" x14ac:dyDescent="0.3">
      <c r="A23" s="10" t="s">
        <v>60</v>
      </c>
      <c r="B23" s="16">
        <v>90528</v>
      </c>
    </row>
    <row r="24" spans="1:12" x14ac:dyDescent="0.3">
      <c r="A24" s="10" t="s">
        <v>56</v>
      </c>
      <c r="B24" s="16">
        <v>113160</v>
      </c>
    </row>
    <row r="25" spans="1:12" x14ac:dyDescent="0.3">
      <c r="A25" s="10" t="s">
        <v>59</v>
      </c>
      <c r="B25" s="16">
        <v>67896</v>
      </c>
    </row>
    <row r="26" spans="1:12" x14ac:dyDescent="0.3">
      <c r="A26" s="9" t="s">
        <v>23</v>
      </c>
      <c r="B26" s="16">
        <v>169740</v>
      </c>
    </row>
    <row r="27" spans="1:12" x14ac:dyDescent="0.3">
      <c r="A27" s="10" t="s">
        <v>61</v>
      </c>
      <c r="B27" s="16">
        <v>61500</v>
      </c>
    </row>
    <row r="28" spans="1:12" x14ac:dyDescent="0.3">
      <c r="A28" s="10" t="s">
        <v>52</v>
      </c>
      <c r="B28" s="16">
        <v>27060</v>
      </c>
    </row>
    <row r="29" spans="1:12" x14ac:dyDescent="0.3">
      <c r="A29" s="10" t="s">
        <v>53</v>
      </c>
      <c r="B29" s="16">
        <v>81180</v>
      </c>
    </row>
    <row r="30" spans="1:12" x14ac:dyDescent="0.3">
      <c r="A30" s="9" t="s">
        <v>26</v>
      </c>
      <c r="B30" s="16">
        <v>385236</v>
      </c>
    </row>
    <row r="31" spans="1:12" x14ac:dyDescent="0.3">
      <c r="A31" s="10" t="s">
        <v>50</v>
      </c>
      <c r="B31" s="16">
        <v>171216</v>
      </c>
    </row>
    <row r="32" spans="1:12" x14ac:dyDescent="0.3">
      <c r="A32" s="10" t="s">
        <v>62</v>
      </c>
      <c r="B32" s="16">
        <v>214020</v>
      </c>
    </row>
    <row r="33" spans="1:2" x14ac:dyDescent="0.3">
      <c r="A33" s="9" t="s">
        <v>29</v>
      </c>
      <c r="B33" s="16">
        <v>505837.5</v>
      </c>
    </row>
    <row r="34" spans="1:2" x14ac:dyDescent="0.3">
      <c r="A34" s="10" t="s">
        <v>54</v>
      </c>
      <c r="B34" s="16">
        <v>12915</v>
      </c>
    </row>
    <row r="35" spans="1:2" x14ac:dyDescent="0.3">
      <c r="A35" s="10" t="s">
        <v>51</v>
      </c>
      <c r="B35" s="16">
        <v>106395</v>
      </c>
    </row>
    <row r="36" spans="1:2" x14ac:dyDescent="0.3">
      <c r="A36" s="10" t="s">
        <v>58</v>
      </c>
      <c r="B36" s="16">
        <v>355470</v>
      </c>
    </row>
    <row r="37" spans="1:2" x14ac:dyDescent="0.3">
      <c r="A37" s="10" t="s">
        <v>52</v>
      </c>
      <c r="B37" s="16">
        <v>31057.5</v>
      </c>
    </row>
    <row r="38" spans="1:2" x14ac:dyDescent="0.3">
      <c r="A38" s="9" t="s">
        <v>30</v>
      </c>
      <c r="B38" s="16">
        <v>34440</v>
      </c>
    </row>
    <row r="39" spans="1:2" x14ac:dyDescent="0.3">
      <c r="A39" s="10" t="s">
        <v>51</v>
      </c>
      <c r="B39" s="16">
        <v>34440</v>
      </c>
    </row>
    <row r="40" spans="1:2" x14ac:dyDescent="0.3">
      <c r="A40" s="9" t="s">
        <v>31</v>
      </c>
      <c r="B40" s="16">
        <v>706020</v>
      </c>
    </row>
    <row r="41" spans="1:2" x14ac:dyDescent="0.3">
      <c r="A41" s="10" t="s">
        <v>51</v>
      </c>
      <c r="B41" s="16">
        <v>398520</v>
      </c>
    </row>
    <row r="42" spans="1:2" x14ac:dyDescent="0.3">
      <c r="A42" s="10" t="s">
        <v>52</v>
      </c>
      <c r="B42" s="16">
        <v>30750</v>
      </c>
    </row>
    <row r="43" spans="1:2" x14ac:dyDescent="0.3">
      <c r="A43" s="10" t="s">
        <v>59</v>
      </c>
      <c r="B43" s="16">
        <v>276750</v>
      </c>
    </row>
    <row r="44" spans="1:2" x14ac:dyDescent="0.3">
      <c r="A44" s="9" t="s">
        <v>32</v>
      </c>
      <c r="B44" s="16">
        <v>65651.25</v>
      </c>
    </row>
    <row r="45" spans="1:2" x14ac:dyDescent="0.3">
      <c r="A45" s="10" t="s">
        <v>59</v>
      </c>
      <c r="B45" s="16">
        <v>65651.25</v>
      </c>
    </row>
    <row r="46" spans="1:2" x14ac:dyDescent="0.3">
      <c r="A46" s="9" t="s">
        <v>33</v>
      </c>
      <c r="B46" s="16">
        <v>239850</v>
      </c>
    </row>
    <row r="47" spans="1:2" x14ac:dyDescent="0.3">
      <c r="A47" s="10" t="s">
        <v>62</v>
      </c>
      <c r="B47" s="16">
        <v>239850</v>
      </c>
    </row>
    <row r="48" spans="1:2" x14ac:dyDescent="0.3">
      <c r="A48" s="9" t="s">
        <v>34</v>
      </c>
      <c r="B48" s="16">
        <v>319800</v>
      </c>
    </row>
    <row r="49" spans="1:2" x14ac:dyDescent="0.3">
      <c r="A49" s="10" t="s">
        <v>61</v>
      </c>
      <c r="B49" s="16">
        <v>14760</v>
      </c>
    </row>
    <row r="50" spans="1:2" x14ac:dyDescent="0.3">
      <c r="A50" s="10" t="s">
        <v>58</v>
      </c>
      <c r="B50" s="16">
        <v>83640</v>
      </c>
    </row>
    <row r="51" spans="1:2" x14ac:dyDescent="0.3">
      <c r="A51" s="10" t="s">
        <v>50</v>
      </c>
      <c r="B51" s="16">
        <v>123000</v>
      </c>
    </row>
    <row r="52" spans="1:2" x14ac:dyDescent="0.3">
      <c r="A52" s="10" t="s">
        <v>63</v>
      </c>
      <c r="B52" s="16">
        <v>98400</v>
      </c>
    </row>
    <row r="53" spans="1:2" x14ac:dyDescent="0.3">
      <c r="A53" s="9" t="s">
        <v>35</v>
      </c>
      <c r="B53" s="16">
        <v>344215.5</v>
      </c>
    </row>
    <row r="54" spans="1:2" x14ac:dyDescent="0.3">
      <c r="A54" s="10" t="s">
        <v>56</v>
      </c>
      <c r="B54" s="16">
        <v>59347.5</v>
      </c>
    </row>
    <row r="55" spans="1:2" x14ac:dyDescent="0.3">
      <c r="A55" s="10" t="s">
        <v>61</v>
      </c>
      <c r="B55" s="16">
        <v>237390</v>
      </c>
    </row>
    <row r="56" spans="1:2" x14ac:dyDescent="0.3">
      <c r="A56" s="10" t="s">
        <v>62</v>
      </c>
      <c r="B56" s="16">
        <v>11869.5</v>
      </c>
    </row>
    <row r="57" spans="1:2" x14ac:dyDescent="0.3">
      <c r="A57" s="10" t="s">
        <v>59</v>
      </c>
      <c r="B57" s="16">
        <v>35608.5</v>
      </c>
    </row>
    <row r="58" spans="1:2" x14ac:dyDescent="0.3">
      <c r="A58" s="9" t="s">
        <v>78</v>
      </c>
      <c r="B58" s="16">
        <v>6502118.25</v>
      </c>
    </row>
  </sheetData>
  <mergeCells count="2">
    <mergeCell ref="G16:L17"/>
    <mergeCell ref="S1:X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1CAB-6CA8-473F-8940-C8B4F0BECCC1}">
  <dimension ref="A3:W15"/>
  <sheetViews>
    <sheetView topLeftCell="B1" workbookViewId="0">
      <selection activeCell="O9" sqref="O9"/>
    </sheetView>
  </sheetViews>
  <sheetFormatPr defaultRowHeight="14.4" x14ac:dyDescent="0.3"/>
  <cols>
    <col min="1" max="1" width="12.5546875" bestFit="1" customWidth="1"/>
    <col min="2" max="2" width="11.6640625" bestFit="1" customWidth="1"/>
  </cols>
  <sheetData>
    <row r="3" spans="1:23" x14ac:dyDescent="0.3">
      <c r="A3" s="8" t="s">
        <v>77</v>
      </c>
      <c r="B3" t="s">
        <v>79</v>
      </c>
      <c r="F3" s="12" t="s">
        <v>82</v>
      </c>
      <c r="G3" s="14"/>
      <c r="H3" s="14"/>
      <c r="I3" s="14"/>
      <c r="J3" s="14"/>
      <c r="K3" s="14"/>
      <c r="L3" s="14"/>
    </row>
    <row r="4" spans="1:23" x14ac:dyDescent="0.3">
      <c r="A4" s="9" t="s">
        <v>5</v>
      </c>
      <c r="B4">
        <v>279517.5</v>
      </c>
      <c r="F4" s="14"/>
      <c r="G4" s="14"/>
      <c r="H4" s="14"/>
      <c r="I4" s="14"/>
      <c r="J4" s="14"/>
      <c r="K4" s="14"/>
      <c r="L4" s="14"/>
      <c r="Q4" s="12" t="s">
        <v>84</v>
      </c>
      <c r="R4" s="14"/>
      <c r="S4" s="14"/>
      <c r="T4" s="14"/>
      <c r="U4" s="14"/>
      <c r="V4" s="14"/>
      <c r="W4" s="14"/>
    </row>
    <row r="5" spans="1:23" x14ac:dyDescent="0.3">
      <c r="A5" s="9" t="s">
        <v>12</v>
      </c>
      <c r="B5">
        <v>406576.5</v>
      </c>
      <c r="F5" s="14"/>
      <c r="G5" s="14"/>
      <c r="H5" s="14"/>
      <c r="I5" s="14"/>
      <c r="J5" s="14"/>
      <c r="K5" s="14"/>
      <c r="L5" s="14"/>
      <c r="Q5" s="14"/>
      <c r="R5" s="14"/>
      <c r="S5" s="14"/>
      <c r="T5" s="14"/>
      <c r="U5" s="14"/>
      <c r="V5" s="14"/>
      <c r="W5" s="14"/>
    </row>
    <row r="6" spans="1:23" x14ac:dyDescent="0.3">
      <c r="A6" s="9" t="s">
        <v>8</v>
      </c>
      <c r="B6">
        <v>331485</v>
      </c>
      <c r="Q6" s="14"/>
      <c r="R6" s="14"/>
      <c r="S6" s="14"/>
      <c r="T6" s="14"/>
      <c r="U6" s="14"/>
      <c r="V6" s="14"/>
      <c r="W6" s="14"/>
    </row>
    <row r="7" spans="1:23" x14ac:dyDescent="0.3">
      <c r="A7" s="9" t="s">
        <v>24</v>
      </c>
      <c r="B7">
        <v>313650</v>
      </c>
    </row>
    <row r="8" spans="1:23" x14ac:dyDescent="0.3">
      <c r="A8" s="9" t="s">
        <v>10</v>
      </c>
      <c r="B8">
        <v>1898197.5</v>
      </c>
    </row>
    <row r="9" spans="1:23" x14ac:dyDescent="0.3">
      <c r="A9" s="9" t="s">
        <v>19</v>
      </c>
      <c r="B9">
        <v>544305.75</v>
      </c>
    </row>
    <row r="10" spans="1:23" x14ac:dyDescent="0.3">
      <c r="A10" s="9" t="s">
        <v>14</v>
      </c>
      <c r="B10">
        <v>1034122.5</v>
      </c>
    </row>
    <row r="11" spans="1:23" x14ac:dyDescent="0.3">
      <c r="A11" s="9" t="s">
        <v>3</v>
      </c>
      <c r="B11">
        <v>561987</v>
      </c>
    </row>
    <row r="12" spans="1:23" x14ac:dyDescent="0.3">
      <c r="A12" s="9" t="s">
        <v>1</v>
      </c>
      <c r="B12">
        <v>576009</v>
      </c>
    </row>
    <row r="13" spans="1:23" x14ac:dyDescent="0.3">
      <c r="A13" s="9" t="s">
        <v>27</v>
      </c>
      <c r="B13">
        <v>465739.5</v>
      </c>
    </row>
    <row r="14" spans="1:23" x14ac:dyDescent="0.3">
      <c r="A14" s="9" t="s">
        <v>21</v>
      </c>
      <c r="B14">
        <v>90528</v>
      </c>
    </row>
    <row r="15" spans="1:23" x14ac:dyDescent="0.3">
      <c r="A15" s="9" t="s">
        <v>78</v>
      </c>
      <c r="B15">
        <v>6502118.25</v>
      </c>
    </row>
  </sheetData>
  <mergeCells count="2">
    <mergeCell ref="F3:L5"/>
    <mergeCell ref="Q4:W6"/>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509C3-04EB-4166-B578-7A808D94B4D6}">
  <dimension ref="A3:E16"/>
  <sheetViews>
    <sheetView workbookViewId="0">
      <selection activeCell="G2" sqref="G2"/>
    </sheetView>
  </sheetViews>
  <sheetFormatPr defaultRowHeight="14.4" x14ac:dyDescent="0.3"/>
  <cols>
    <col min="1" max="1" width="12.5546875" bestFit="1" customWidth="1"/>
    <col min="2" max="2" width="15.5546875" bestFit="1" customWidth="1"/>
    <col min="3" max="3" width="11" bestFit="1" customWidth="1"/>
    <col min="4" max="4" width="8" bestFit="1" customWidth="1"/>
    <col min="5" max="5" width="18.5546875" customWidth="1"/>
  </cols>
  <sheetData>
    <row r="3" spans="1:5" x14ac:dyDescent="0.3">
      <c r="A3" s="11" t="s">
        <v>79</v>
      </c>
      <c r="B3" s="11" t="s">
        <v>80</v>
      </c>
      <c r="C3" s="7"/>
      <c r="D3" s="7"/>
      <c r="E3" s="7"/>
    </row>
    <row r="4" spans="1:5" x14ac:dyDescent="0.3">
      <c r="A4" s="11" t="s">
        <v>77</v>
      </c>
      <c r="B4" s="7" t="s">
        <v>65</v>
      </c>
      <c r="C4" s="7" t="s">
        <v>66</v>
      </c>
      <c r="D4" s="7" t="s">
        <v>67</v>
      </c>
      <c r="E4" s="7" t="s">
        <v>78</v>
      </c>
    </row>
    <row r="5" spans="1:5" x14ac:dyDescent="0.3">
      <c r="A5" s="9" t="s">
        <v>5</v>
      </c>
      <c r="B5">
        <v>109470</v>
      </c>
      <c r="C5">
        <v>114697.5</v>
      </c>
      <c r="D5">
        <v>55350</v>
      </c>
      <c r="E5">
        <v>279517.5</v>
      </c>
    </row>
    <row r="6" spans="1:5" x14ac:dyDescent="0.3">
      <c r="A6" s="9" t="s">
        <v>12</v>
      </c>
      <c r="B6">
        <v>15682.5</v>
      </c>
      <c r="C6">
        <v>241080</v>
      </c>
      <c r="D6">
        <v>149814</v>
      </c>
      <c r="E6">
        <v>406576.5</v>
      </c>
    </row>
    <row r="7" spans="1:5" x14ac:dyDescent="0.3">
      <c r="A7" s="9" t="s">
        <v>8</v>
      </c>
      <c r="B7">
        <v>318570</v>
      </c>
      <c r="C7">
        <v>12915</v>
      </c>
      <c r="E7">
        <v>331485</v>
      </c>
    </row>
    <row r="8" spans="1:5" x14ac:dyDescent="0.3">
      <c r="A8" s="9" t="s">
        <v>24</v>
      </c>
      <c r="C8">
        <v>313650</v>
      </c>
      <c r="E8">
        <v>313650</v>
      </c>
    </row>
    <row r="9" spans="1:5" x14ac:dyDescent="0.3">
      <c r="A9" s="9" t="s">
        <v>10</v>
      </c>
      <c r="B9">
        <v>1697400</v>
      </c>
      <c r="C9">
        <v>172507.5</v>
      </c>
      <c r="D9">
        <v>28290</v>
      </c>
      <c r="E9">
        <v>1898197.5</v>
      </c>
    </row>
    <row r="10" spans="1:5" x14ac:dyDescent="0.3">
      <c r="A10" s="9" t="s">
        <v>19</v>
      </c>
      <c r="C10">
        <v>169155.75</v>
      </c>
      <c r="D10">
        <v>375150</v>
      </c>
      <c r="E10">
        <v>544305.75</v>
      </c>
    </row>
    <row r="11" spans="1:5" x14ac:dyDescent="0.3">
      <c r="A11" s="9" t="s">
        <v>14</v>
      </c>
      <c r="B11">
        <v>532282.5</v>
      </c>
      <c r="C11">
        <v>501840</v>
      </c>
      <c r="E11">
        <v>1034122.5</v>
      </c>
    </row>
    <row r="12" spans="1:5" x14ac:dyDescent="0.3">
      <c r="A12" s="9" t="s">
        <v>3</v>
      </c>
      <c r="B12">
        <v>22632</v>
      </c>
      <c r="C12">
        <v>140835</v>
      </c>
      <c r="D12">
        <v>398520</v>
      </c>
      <c r="E12">
        <v>561987</v>
      </c>
    </row>
    <row r="13" spans="1:5" x14ac:dyDescent="0.3">
      <c r="A13" s="9" t="s">
        <v>1</v>
      </c>
      <c r="B13">
        <v>219063</v>
      </c>
      <c r="C13">
        <v>171216</v>
      </c>
      <c r="D13">
        <v>185730</v>
      </c>
      <c r="E13">
        <v>576009</v>
      </c>
    </row>
    <row r="14" spans="1:5" x14ac:dyDescent="0.3">
      <c r="A14" s="9" t="s">
        <v>27</v>
      </c>
      <c r="C14">
        <v>225889.5</v>
      </c>
      <c r="D14">
        <v>239850</v>
      </c>
      <c r="E14">
        <v>465739.5</v>
      </c>
    </row>
    <row r="15" spans="1:5" x14ac:dyDescent="0.3">
      <c r="A15" s="9" t="s">
        <v>21</v>
      </c>
      <c r="C15">
        <v>90528</v>
      </c>
      <c r="E15">
        <v>90528</v>
      </c>
    </row>
    <row r="16" spans="1:5" x14ac:dyDescent="0.3">
      <c r="A16" s="9" t="s">
        <v>78</v>
      </c>
      <c r="B16">
        <v>2915100</v>
      </c>
      <c r="C16">
        <v>2154314.25</v>
      </c>
      <c r="D16">
        <v>1432704</v>
      </c>
      <c r="E16">
        <v>6502118.25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Q1,Q4,Q8</vt:lpstr>
      <vt:lpstr>Q2,Q5,Q6</vt:lpstr>
      <vt:lpstr>Q3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Sanjana .</cp:lastModifiedBy>
  <dcterms:created xsi:type="dcterms:W3CDTF">2015-06-05T18:17:20Z</dcterms:created>
  <dcterms:modified xsi:type="dcterms:W3CDTF">2025-10-05T08:20:27Z</dcterms:modified>
</cp:coreProperties>
</file>