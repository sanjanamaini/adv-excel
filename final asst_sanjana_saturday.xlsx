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sanju\Downloads\"/>
    </mc:Choice>
  </mc:AlternateContent>
  <xr:revisionPtr revIDLastSave="0" documentId="8_{39D4E8D6-5016-4CE1-8557-1967FC2057E8}" xr6:coauthVersionLast="47" xr6:coauthVersionMax="47" xr10:uidLastSave="{00000000-0000-0000-0000-000000000000}"/>
  <bookViews>
    <workbookView xWindow="-108" yWindow="-108" windowWidth="23256" windowHeight="12456" activeTab="15" xr2:uid="{D2F03BA7-6B07-4EC0-94CD-B72708180DB0}"/>
  </bookViews>
  <sheets>
    <sheet name="1" sheetId="16" r:id="rId1"/>
    <sheet name="2" sheetId="17" r:id="rId2"/>
    <sheet name="3" sheetId="18" r:id="rId3"/>
    <sheet name="4" sheetId="19" r:id="rId4"/>
    <sheet name="5" sheetId="20" r:id="rId5"/>
    <sheet name="6" sheetId="15" r:id="rId6"/>
    <sheet name="7" sheetId="14" r:id="rId7"/>
    <sheet name="8" sheetId="9" r:id="rId8"/>
    <sheet name="9" sheetId="10" r:id="rId9"/>
    <sheet name="9 sol" sheetId="22" r:id="rId10"/>
    <sheet name="10" sheetId="11" r:id="rId11"/>
    <sheet name="11" sheetId="12" r:id="rId12"/>
    <sheet name="12" sheetId="13" r:id="rId13"/>
    <sheet name="13" sheetId="3" r:id="rId14"/>
    <sheet name="14" sheetId="5" r:id="rId15"/>
    <sheet name="15" sheetId="4" r:id="rId16"/>
    <sheet name="16" sheetId="7" r:id="rId17"/>
    <sheet name="17" sheetId="8" r:id="rId18"/>
  </sheets>
  <definedNames>
    <definedName name="_xlnm._FilterDatabase" localSheetId="17" hidden="1">'17'!$BA$36:$BG$46</definedName>
    <definedName name="_xlnm.Criteria" localSheetId="17">'17'!$H$50:$I$51</definedName>
    <definedName name="Honda" localSheetId="5">'6'!$C$16:$C$19</definedName>
    <definedName name="Hyundai" localSheetId="5">'6'!$D$16:$D$19</definedName>
    <definedName name="percent" localSheetId="5">'6'!$E$16:$E$20</definedName>
    <definedName name="Slicer_Branch">#N/A</definedName>
    <definedName name="Toyota" localSheetId="5">'6'!$B$16:$B$19</definedName>
  </definedNames>
  <calcPr calcId="191029"/>
  <pivotCaches>
    <pivotCache cacheId="3" r:id="rId19"/>
    <pivotCache cacheId="7" r:id="rId20"/>
  </pivotCaches>
  <extLs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 i="20" l="1"/>
  <c r="E5" i="20"/>
  <c r="E6" i="20"/>
  <c r="Y3" i="22"/>
  <c r="Y4" i="22"/>
  <c r="Y5" i="22"/>
  <c r="Y6" i="22"/>
  <c r="Y7" i="22"/>
  <c r="Y8" i="22"/>
  <c r="Y9" i="22"/>
  <c r="Y10" i="22"/>
  <c r="Y11" i="22"/>
  <c r="Y12" i="22"/>
  <c r="Y13" i="22"/>
  <c r="Y14" i="22"/>
  <c r="Y15" i="22"/>
  <c r="Y16" i="22"/>
  <c r="Y2" i="22"/>
  <c r="R3" i="22"/>
  <c r="R4" i="22"/>
  <c r="R5" i="22"/>
  <c r="R6" i="22"/>
  <c r="R7" i="22"/>
  <c r="R8" i="22"/>
  <c r="R9" i="22"/>
  <c r="R10" i="22"/>
  <c r="R11" i="22"/>
  <c r="R12" i="22"/>
  <c r="R13" i="22"/>
  <c r="R14" i="22"/>
  <c r="R15" i="22"/>
  <c r="R16" i="22"/>
  <c r="R2" i="22"/>
  <c r="X3" i="22"/>
  <c r="X4" i="22"/>
  <c r="X5" i="22"/>
  <c r="X6" i="22"/>
  <c r="X7" i="22"/>
  <c r="X8" i="22"/>
  <c r="X9" i="22"/>
  <c r="X10" i="22"/>
  <c r="X11" i="22"/>
  <c r="X12" i="22"/>
  <c r="X13" i="22"/>
  <c r="X14" i="22"/>
  <c r="X15" i="22"/>
  <c r="X16" i="22"/>
  <c r="X2" i="22"/>
  <c r="V3" i="22" a="1"/>
  <c r="V3" i="22" s="1"/>
  <c r="V4" i="22" a="1"/>
  <c r="V4" i="22"/>
  <c r="V5" i="22" a="1"/>
  <c r="V5" i="22"/>
  <c r="V6" i="22" a="1"/>
  <c r="V6" i="22" s="1"/>
  <c r="V7" i="22" a="1"/>
  <c r="V7" i="22" s="1"/>
  <c r="V8" i="22" a="1"/>
  <c r="V8" i="22"/>
  <c r="V9" i="22" a="1"/>
  <c r="V9" i="22" s="1"/>
  <c r="V10" i="22" a="1"/>
  <c r="V10" i="22" s="1"/>
  <c r="V11" i="22" a="1"/>
  <c r="V11" i="22"/>
  <c r="V12" i="22" a="1"/>
  <c r="V12" i="22" s="1"/>
  <c r="V13" i="22" a="1"/>
  <c r="V13" i="22"/>
  <c r="V14" i="22" a="1"/>
  <c r="V14" i="22" s="1"/>
  <c r="V15" i="22" a="1"/>
  <c r="V15" i="22" s="1"/>
  <c r="V16" i="22" a="1"/>
  <c r="V16" i="22"/>
  <c r="V2" i="22" a="1"/>
  <c r="V2" i="22" s="1"/>
  <c r="U3" i="22"/>
  <c r="U4" i="22"/>
  <c r="U5" i="22"/>
  <c r="U6" i="22"/>
  <c r="U7" i="22"/>
  <c r="U8" i="22"/>
  <c r="U9" i="22"/>
  <c r="U10" i="22"/>
  <c r="U11" i="22"/>
  <c r="U12" i="22"/>
  <c r="U13" i="22"/>
  <c r="U14" i="22"/>
  <c r="U15" i="22"/>
  <c r="U16" i="22"/>
  <c r="U2" i="22"/>
  <c r="Q3" i="22"/>
  <c r="Q4" i="22"/>
  <c r="Q5" i="22"/>
  <c r="Q6" i="22"/>
  <c r="Q7" i="22"/>
  <c r="Q8" i="22"/>
  <c r="Q9" i="22"/>
  <c r="Q10" i="22"/>
  <c r="Q11" i="22"/>
  <c r="Q12" i="22"/>
  <c r="Q13" i="22"/>
  <c r="Q14" i="22"/>
  <c r="Q15" i="22"/>
  <c r="Q16" i="22"/>
  <c r="Q2" i="22"/>
  <c r="S3" i="22"/>
  <c r="S4" i="22"/>
  <c r="S5" i="22"/>
  <c r="S6" i="22"/>
  <c r="S7" i="22"/>
  <c r="S8" i="22"/>
  <c r="S9" i="22"/>
  <c r="S10" i="22"/>
  <c r="S11" i="22"/>
  <c r="S12" i="22"/>
  <c r="S13" i="22"/>
  <c r="S14" i="22"/>
  <c r="S15" i="22"/>
  <c r="S16" i="22"/>
  <c r="P3" i="22"/>
  <c r="P4" i="22"/>
  <c r="P5" i="22"/>
  <c r="P6" i="22"/>
  <c r="P7" i="22"/>
  <c r="P8" i="22"/>
  <c r="P9" i="22"/>
  <c r="P10" i="22"/>
  <c r="P11" i="22"/>
  <c r="P12" i="22"/>
  <c r="P13" i="22"/>
  <c r="P14" i="22"/>
  <c r="P15" i="22"/>
  <c r="P16" i="22"/>
  <c r="P2" i="22"/>
  <c r="S2" i="22"/>
  <c r="K2" i="22"/>
  <c r="M3" i="22"/>
  <c r="N3" i="22"/>
  <c r="M4" i="22"/>
  <c r="N4" i="22"/>
  <c r="M5" i="22"/>
  <c r="N5" i="22"/>
  <c r="M6" i="22"/>
  <c r="N6" i="22"/>
  <c r="M7" i="22"/>
  <c r="N7" i="22"/>
  <c r="M8" i="22"/>
  <c r="N8" i="22"/>
  <c r="M9" i="22"/>
  <c r="N9" i="22"/>
  <c r="M10" i="22"/>
  <c r="N10" i="22"/>
  <c r="M11" i="22"/>
  <c r="N11" i="22"/>
  <c r="M12" i="22"/>
  <c r="N12" i="22"/>
  <c r="M13" i="22"/>
  <c r="N13" i="22"/>
  <c r="M14" i="22"/>
  <c r="N14" i="22"/>
  <c r="M15" i="22"/>
  <c r="N15" i="22"/>
  <c r="M16" i="22"/>
  <c r="N16" i="22"/>
  <c r="K3" i="22"/>
  <c r="L3" i="22"/>
  <c r="K4" i="22"/>
  <c r="L4" i="22"/>
  <c r="K5" i="22"/>
  <c r="L5" i="22"/>
  <c r="K6" i="22"/>
  <c r="L6" i="22"/>
  <c r="K7" i="22"/>
  <c r="L7" i="22"/>
  <c r="K8" i="22"/>
  <c r="L8" i="22"/>
  <c r="K9" i="22"/>
  <c r="L9" i="22"/>
  <c r="K10" i="22"/>
  <c r="L10" i="22"/>
  <c r="K11" i="22"/>
  <c r="L11" i="22"/>
  <c r="K12" i="22"/>
  <c r="L12" i="22"/>
  <c r="K13" i="22"/>
  <c r="L13" i="22"/>
  <c r="K14" i="22"/>
  <c r="L14" i="22"/>
  <c r="K15" i="22"/>
  <c r="L15" i="22"/>
  <c r="K16" i="22"/>
  <c r="L16" i="22"/>
  <c r="J3" i="22"/>
  <c r="J4" i="22"/>
  <c r="J5" i="22"/>
  <c r="J6" i="22"/>
  <c r="J7" i="22"/>
  <c r="J8" i="22"/>
  <c r="J9" i="22"/>
  <c r="J10" i="22"/>
  <c r="J11" i="22"/>
  <c r="J12" i="22"/>
  <c r="J13" i="22"/>
  <c r="J14" i="22"/>
  <c r="J15" i="22"/>
  <c r="J16" i="22"/>
  <c r="I3" i="22"/>
  <c r="I4" i="22"/>
  <c r="I5" i="22"/>
  <c r="I6" i="22"/>
  <c r="I7" i="22"/>
  <c r="I8" i="22"/>
  <c r="I9" i="22"/>
  <c r="I10" i="22"/>
  <c r="I11" i="22"/>
  <c r="I12" i="22"/>
  <c r="I13" i="22"/>
  <c r="I14" i="22"/>
  <c r="I15" i="22"/>
  <c r="I16" i="22"/>
  <c r="N2" i="22"/>
  <c r="M2" i="22"/>
  <c r="L2" i="22"/>
  <c r="J2" i="22"/>
  <c r="I2" i="22"/>
  <c r="G3" i="22"/>
  <c r="G4" i="22"/>
  <c r="G5" i="22"/>
  <c r="G6" i="22"/>
  <c r="G7" i="22"/>
  <c r="G8" i="22"/>
  <c r="G9" i="22"/>
  <c r="G10" i="22"/>
  <c r="G11" i="22"/>
  <c r="G12" i="22"/>
  <c r="G13" i="22"/>
  <c r="G14" i="22"/>
  <c r="G15" i="22"/>
  <c r="G16" i="22"/>
  <c r="F3" i="22"/>
  <c r="F4" i="22"/>
  <c r="F5" i="22"/>
  <c r="F6" i="22"/>
  <c r="F7" i="22"/>
  <c r="F8" i="22"/>
  <c r="F9" i="22"/>
  <c r="F10" i="22"/>
  <c r="F11" i="22"/>
  <c r="F12" i="22"/>
  <c r="F13" i="22"/>
  <c r="F14" i="22"/>
  <c r="F15" i="22"/>
  <c r="F16" i="22"/>
  <c r="G2" i="22"/>
  <c r="F2" i="22"/>
  <c r="E3" i="22"/>
  <c r="E4" i="22"/>
  <c r="E5" i="22"/>
  <c r="E6" i="22"/>
  <c r="E7" i="22"/>
  <c r="E8" i="22"/>
  <c r="E9" i="22"/>
  <c r="E10" i="22"/>
  <c r="E11" i="22"/>
  <c r="E12" i="22"/>
  <c r="E13" i="22"/>
  <c r="E14" i="22"/>
  <c r="E15" i="22"/>
  <c r="E16" i="22"/>
  <c r="D3" i="22"/>
  <c r="D4" i="22"/>
  <c r="D5" i="22"/>
  <c r="D6" i="22"/>
  <c r="D7" i="22"/>
  <c r="D8" i="22"/>
  <c r="D9" i="22"/>
  <c r="D10" i="22"/>
  <c r="D11" i="22"/>
  <c r="D12" i="22"/>
  <c r="D13" i="22"/>
  <c r="D14" i="22"/>
  <c r="D15" i="22"/>
  <c r="D16" i="22"/>
  <c r="C3" i="22"/>
  <c r="C4" i="22"/>
  <c r="C5" i="22"/>
  <c r="C6" i="22"/>
  <c r="C7" i="22"/>
  <c r="C8" i="22"/>
  <c r="C9" i="22"/>
  <c r="C10" i="22"/>
  <c r="C11" i="22"/>
  <c r="C12" i="22"/>
  <c r="C13" i="22"/>
  <c r="C14" i="22"/>
  <c r="C15" i="22"/>
  <c r="C16" i="22"/>
  <c r="E2" i="22"/>
  <c r="D2" i="22"/>
  <c r="C2" i="22"/>
  <c r="B3" i="22"/>
  <c r="B4" i="22"/>
  <c r="B5" i="22"/>
  <c r="B6" i="22"/>
  <c r="B7" i="22"/>
  <c r="B8" i="22"/>
  <c r="B9" i="22"/>
  <c r="B10" i="22"/>
  <c r="B11" i="22"/>
  <c r="B12" i="22"/>
  <c r="B13" i="22"/>
  <c r="B14" i="22"/>
  <c r="B15" i="22"/>
  <c r="B16" i="22"/>
  <c r="B2" i="22"/>
  <c r="A3" i="22"/>
  <c r="A4" i="22"/>
  <c r="A5" i="22"/>
  <c r="A6" i="22"/>
  <c r="A7" i="22"/>
  <c r="A8" i="22"/>
  <c r="A9" i="22"/>
  <c r="A10" i="22"/>
  <c r="A11" i="22"/>
  <c r="A12" i="22"/>
  <c r="A13" i="22"/>
  <c r="A14" i="22"/>
  <c r="A15" i="22"/>
  <c r="A16" i="22"/>
  <c r="A2" i="22"/>
  <c r="L58" i="13" a="1"/>
  <c r="L58" i="13" s="1"/>
  <c r="O55" i="13"/>
  <c r="N43" i="13"/>
  <c r="N52" i="13"/>
  <c r="K49" i="13" a="1"/>
  <c r="K49" i="13" s="1"/>
  <c r="L46" i="13"/>
  <c r="Q40" i="13"/>
  <c r="L37" i="13"/>
  <c r="G14" i="17"/>
  <c r="D9" i="17"/>
  <c r="D8" i="17"/>
  <c r="D7" i="17"/>
  <c r="D6" i="17"/>
  <c r="D5" i="17"/>
  <c r="D4" i="17"/>
  <c r="F20" i="8"/>
  <c r="E20" i="8"/>
  <c r="M3" i="12"/>
  <c r="M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2" i="12"/>
  <c r="L3" i="12"/>
  <c r="L4" i="12"/>
  <c r="L5" i="12"/>
  <c r="L6" i="12"/>
  <c r="L7" i="12"/>
  <c r="L8" i="12"/>
  <c r="L9" i="12"/>
  <c r="L10" i="12"/>
  <c r="L11" i="12"/>
  <c r="L12" i="12"/>
  <c r="L13" i="12"/>
  <c r="L14" i="12"/>
  <c r="L15" i="12"/>
  <c r="L16" i="12"/>
  <c r="L17" i="12"/>
  <c r="L18" i="12"/>
  <c r="L19" i="12"/>
  <c r="L20" i="12"/>
  <c r="L21" i="12"/>
  <c r="L22" i="12"/>
  <c r="L23" i="12"/>
  <c r="L24" i="12"/>
  <c r="L25" i="12"/>
  <c r="L26" i="12"/>
  <c r="L27" i="12"/>
  <c r="L28" i="12"/>
  <c r="L29" i="12"/>
  <c r="L30" i="12"/>
  <c r="L31" i="12"/>
  <c r="L32" i="12"/>
  <c r="L33" i="12"/>
  <c r="L34" i="12"/>
  <c r="L35" i="12"/>
  <c r="L36" i="12"/>
  <c r="L37" i="12"/>
  <c r="L38" i="12"/>
  <c r="L39" i="12"/>
  <c r="L40" i="12"/>
  <c r="L41" i="12"/>
  <c r="L42" i="12"/>
  <c r="L43" i="12"/>
  <c r="L44" i="12"/>
  <c r="L45" i="12"/>
  <c r="L46" i="12"/>
  <c r="L47" i="12"/>
  <c r="L48" i="12"/>
  <c r="L49" i="12"/>
  <c r="L50" i="12"/>
  <c r="L51" i="12"/>
  <c r="L52" i="12"/>
  <c r="L53" i="12"/>
  <c r="L54" i="12"/>
  <c r="L55" i="12"/>
  <c r="L56" i="12"/>
  <c r="L57" i="12"/>
  <c r="L58" i="12"/>
  <c r="L59" i="12"/>
  <c r="L60" i="12"/>
  <c r="L61" i="12"/>
  <c r="L62" i="12"/>
  <c r="L63" i="12"/>
  <c r="L64" i="12"/>
  <c r="L65" i="12"/>
  <c r="L66" i="12"/>
  <c r="L67" i="12"/>
  <c r="L68" i="12"/>
  <c r="L69" i="12"/>
  <c r="L70" i="12"/>
  <c r="L71" i="12"/>
  <c r="L72" i="12"/>
  <c r="L73" i="12"/>
  <c r="L74" i="12"/>
  <c r="L75" i="12"/>
  <c r="L2" i="12"/>
  <c r="K3" i="12"/>
  <c r="K4" i="12"/>
  <c r="K5" i="12"/>
  <c r="K6" i="12"/>
  <c r="K7" i="12"/>
  <c r="K8" i="12"/>
  <c r="K9" i="12"/>
  <c r="K10" i="12"/>
  <c r="K11" i="12"/>
  <c r="K12" i="12"/>
  <c r="K13" i="12"/>
  <c r="K14" i="12"/>
  <c r="K15" i="12"/>
  <c r="K16" i="12"/>
  <c r="K17" i="12"/>
  <c r="K18" i="12"/>
  <c r="K19" i="12"/>
  <c r="K20" i="12"/>
  <c r="K21" i="12"/>
  <c r="K22" i="12"/>
  <c r="K23" i="12"/>
  <c r="K24" i="12"/>
  <c r="K25" i="12"/>
  <c r="K26" i="12"/>
  <c r="K27" i="12"/>
  <c r="K28" i="12"/>
  <c r="K29" i="12"/>
  <c r="K30" i="12"/>
  <c r="K31" i="12"/>
  <c r="K32" i="12"/>
  <c r="K33" i="12"/>
  <c r="K34" i="12"/>
  <c r="K35" i="12"/>
  <c r="K36" i="12"/>
  <c r="K37" i="12"/>
  <c r="K38" i="12"/>
  <c r="K39" i="12"/>
  <c r="K40" i="12"/>
  <c r="K41" i="12"/>
  <c r="K42" i="12"/>
  <c r="K43" i="12"/>
  <c r="K44" i="12"/>
  <c r="K45" i="12"/>
  <c r="K46" i="12"/>
  <c r="K47" i="12"/>
  <c r="K48" i="12"/>
  <c r="K49" i="12"/>
  <c r="K50" i="12"/>
  <c r="K51" i="12"/>
  <c r="K52" i="12"/>
  <c r="K53" i="12"/>
  <c r="K54" i="12"/>
  <c r="K55" i="12"/>
  <c r="K56" i="12"/>
  <c r="K57" i="12"/>
  <c r="K58" i="12"/>
  <c r="K59" i="12"/>
  <c r="K60" i="12"/>
  <c r="K61" i="12"/>
  <c r="K62" i="12"/>
  <c r="K63" i="12"/>
  <c r="K64" i="12"/>
  <c r="K65" i="12"/>
  <c r="K66" i="12"/>
  <c r="K67" i="12"/>
  <c r="K68" i="12"/>
  <c r="K69" i="12"/>
  <c r="K70" i="12"/>
  <c r="K71" i="12"/>
  <c r="K72" i="12"/>
  <c r="K73" i="12"/>
  <c r="K74" i="12"/>
  <c r="K75" i="12"/>
  <c r="K2" i="12"/>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2" i="12"/>
  <c r="R7" i="9" a="1"/>
  <c r="R7" i="9" s="1"/>
  <c r="R8" i="9" a="1"/>
  <c r="R8" i="9" s="1"/>
  <c r="R9" i="9" a="1"/>
  <c r="R9" i="9"/>
  <c r="R10" i="9" a="1"/>
  <c r="R10" i="9" s="1"/>
  <c r="R11" i="9" a="1"/>
  <c r="R11" i="9" s="1"/>
  <c r="R12" i="9" a="1"/>
  <c r="R12" i="9"/>
  <c r="R13" i="9" a="1"/>
  <c r="R13" i="9" s="1"/>
  <c r="R14" i="9" a="1"/>
  <c r="R14" i="9" s="1"/>
  <c r="R15" i="9" a="1"/>
  <c r="R15" i="9"/>
  <c r="R16" i="9" a="1"/>
  <c r="R16" i="9" s="1"/>
  <c r="R17" i="9" a="1"/>
  <c r="R17" i="9" s="1"/>
  <c r="R18" i="9" a="1"/>
  <c r="R18" i="9"/>
  <c r="R19" i="9" a="1"/>
  <c r="R19" i="9" s="1"/>
  <c r="R20" i="9" a="1"/>
  <c r="R20" i="9" s="1"/>
  <c r="R21" i="9" a="1"/>
  <c r="R21" i="9"/>
  <c r="R22" i="9" a="1"/>
  <c r="R22" i="9" s="1"/>
  <c r="R23" i="9" a="1"/>
  <c r="R23" i="9" s="1"/>
  <c r="R24" i="9" a="1"/>
  <c r="R24" i="9"/>
  <c r="R25" i="9" a="1"/>
  <c r="R25" i="9" s="1"/>
  <c r="R26" i="9" a="1"/>
  <c r="R26" i="9" s="1"/>
  <c r="R27" i="9" a="1"/>
  <c r="R27" i="9"/>
  <c r="R28" i="9" a="1"/>
  <c r="R28" i="9" s="1"/>
  <c r="R29" i="9" a="1"/>
  <c r="R29" i="9" s="1"/>
  <c r="R6" i="9" a="1"/>
  <c r="R6" i="9" s="1"/>
  <c r="A28" i="15"/>
  <c r="D20" i="15"/>
  <c r="C20" i="15"/>
  <c r="B20" i="15"/>
  <c r="J30" i="19"/>
  <c r="J31" i="19"/>
  <c r="J32" i="19"/>
  <c r="J33" i="19"/>
  <c r="J34" i="19"/>
  <c r="J35" i="19"/>
  <c r="J36" i="19"/>
  <c r="J37" i="19"/>
  <c r="J38" i="19"/>
  <c r="J39" i="19"/>
  <c r="J40" i="19"/>
  <c r="J41" i="19"/>
  <c r="J29" i="19"/>
  <c r="I30" i="19"/>
  <c r="I31" i="19"/>
  <c r="I32" i="19"/>
  <c r="I33" i="19"/>
  <c r="I34" i="19"/>
  <c r="I35" i="19"/>
  <c r="I36" i="19"/>
  <c r="I37" i="19"/>
  <c r="I38" i="19"/>
  <c r="I39" i="19"/>
  <c r="I40" i="19"/>
  <c r="I41" i="19"/>
  <c r="I29" i="19"/>
  <c r="J19" i="19"/>
  <c r="I19" i="19"/>
  <c r="H19" i="19"/>
  <c r="J18" i="19"/>
  <c r="I18" i="19"/>
  <c r="H18" i="19"/>
  <c r="J5" i="7"/>
  <c r="J4" i="7"/>
  <c r="F12" i="19"/>
  <c r="F5" i="19"/>
  <c r="F6" i="19"/>
  <c r="F7" i="19"/>
  <c r="F8" i="19"/>
  <c r="F9" i="19"/>
  <c r="F4" i="19"/>
  <c r="B12" i="19"/>
  <c r="E5" i="19"/>
  <c r="E6" i="19"/>
  <c r="E7" i="19"/>
  <c r="E8" i="19"/>
  <c r="E9" i="19"/>
  <c r="E4" i="19"/>
  <c r="J2" i="7"/>
  <c r="K2" i="7" s="1"/>
  <c r="I12" i="5"/>
  <c r="I11" i="5"/>
  <c r="I9" i="5"/>
  <c r="I8" i="5"/>
  <c r="I6" i="5"/>
  <c r="L2" i="3" a="1"/>
  <c r="L2" i="3" s="1"/>
  <c r="K2" i="3" a="1"/>
  <c r="K2" i="3" s="1"/>
  <c r="J2" i="3" a="1"/>
  <c r="J2" i="3" s="1"/>
  <c r="I2" i="3" a="1"/>
  <c r="I2" i="3" s="1"/>
  <c r="K3" i="11"/>
  <c r="K4" i="11"/>
  <c r="K5" i="11"/>
  <c r="K6" i="11"/>
  <c r="K7" i="11"/>
  <c r="K2" i="11"/>
  <c r="J3" i="11"/>
  <c r="J4" i="11"/>
  <c r="J5" i="11"/>
  <c r="J6" i="11"/>
  <c r="J7" i="11"/>
  <c r="J2" i="11"/>
  <c r="I3" i="11"/>
  <c r="I4" i="11"/>
  <c r="I5" i="11"/>
  <c r="I6" i="11"/>
  <c r="I7" i="11"/>
  <c r="I2" i="11"/>
  <c r="H3" i="11"/>
  <c r="H4" i="11"/>
  <c r="H5" i="11"/>
  <c r="H6" i="11"/>
  <c r="H7" i="11"/>
  <c r="H2" i="11"/>
  <c r="E29" i="18"/>
  <c r="E30" i="18" a="1"/>
  <c r="E30" i="18" s="1"/>
  <c r="I12" i="14"/>
  <c r="I13" i="14"/>
  <c r="I14" i="14"/>
  <c r="I11" i="14"/>
  <c r="I5" i="5"/>
  <c r="I3" i="5"/>
  <c r="I2" i="5"/>
  <c r="C9" i="15"/>
  <c r="B9" i="15"/>
  <c r="A9" i="15"/>
  <c r="G3" i="11"/>
  <c r="G4" i="11"/>
  <c r="G5" i="11"/>
  <c r="G6" i="11"/>
  <c r="G7" i="11"/>
  <c r="G2" i="11"/>
  <c r="A12" i="14"/>
  <c r="A11" i="14"/>
  <c r="C4" i="17"/>
  <c r="C6" i="17"/>
  <c r="C5" i="17" a="1"/>
  <c r="C5" i="17" s="1"/>
  <c r="C7" i="17"/>
  <c r="C8" i="17"/>
  <c r="C9" i="17"/>
  <c r="E16" i="15"/>
  <c r="E17" i="15"/>
  <c r="E18" i="15"/>
  <c r="E19" i="15"/>
  <c r="F35" i="15"/>
  <c r="F36" i="15"/>
  <c r="F37" i="15"/>
  <c r="F38" i="15"/>
  <c r="F39" i="15"/>
  <c r="F40" i="15"/>
  <c r="F41" i="15"/>
  <c r="F42" i="15"/>
  <c r="F43" i="15"/>
  <c r="F44" i="15"/>
  <c r="F45" i="15"/>
  <c r="F46" i="15"/>
  <c r="F47" i="15"/>
  <c r="F48" i="15"/>
  <c r="F49" i="15"/>
  <c r="F50" i="15"/>
  <c r="F51" i="15"/>
  <c r="F52" i="15"/>
  <c r="F53" i="15"/>
  <c r="F54" i="15"/>
  <c r="F55" i="15"/>
  <c r="F56" i="15"/>
  <c r="F57" i="15"/>
  <c r="F58" i="15"/>
  <c r="F59" i="15"/>
  <c r="F60" i="15"/>
  <c r="F61" i="15"/>
  <c r="F62" i="15"/>
  <c r="F63" i="15"/>
  <c r="F64" i="15"/>
  <c r="F65" i="15"/>
  <c r="F66" i="15"/>
  <c r="F67" i="15"/>
  <c r="F68" i="15"/>
  <c r="F69" i="15"/>
  <c r="F70" i="15"/>
  <c r="F71" i="15"/>
  <c r="F72" i="15"/>
  <c r="F73" i="15"/>
  <c r="F74" i="15"/>
  <c r="F75" i="15"/>
  <c r="F76" i="15"/>
  <c r="F77" i="15"/>
  <c r="K17" i="7" l="1"/>
  <c r="K28" i="7"/>
  <c r="K16" i="7"/>
  <c r="K27" i="7"/>
  <c r="K15" i="7"/>
  <c r="K23" i="7"/>
  <c r="K11" i="7"/>
  <c r="K22" i="7"/>
  <c r="K10" i="7"/>
  <c r="K21" i="7"/>
  <c r="K9" i="7"/>
  <c r="K26" i="7"/>
  <c r="K20" i="7"/>
  <c r="K14" i="7"/>
  <c r="K8" i="7"/>
  <c r="K25" i="7"/>
  <c r="K19" i="7"/>
  <c r="K13" i="7"/>
  <c r="K7" i="7"/>
  <c r="K24" i="7"/>
  <c r="K18" i="7"/>
  <c r="K12" i="7"/>
  <c r="K6" i="7"/>
  <c r="K4" i="7"/>
  <c r="K5" i="7"/>
  <c r="K3"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Rafiul Haq</author>
  </authors>
  <commentList>
    <comment ref="E3" authorId="0" shapeId="0" xr:uid="{99767239-59AA-4E40-A79E-A1236686F38F}">
      <text>
        <r>
          <rPr>
            <sz val="12"/>
            <rFont val="Aptos Narrow"/>
            <family val="2"/>
            <scheme val="minor"/>
          </rPr>
          <t>Join the marks with a comma using either any of the functions: CONCATENATE, CONCAT, TEXTJOIN
or
use the ampersand operator (&amp;)</t>
        </r>
      </text>
    </comment>
    <comment ref="B12" authorId="0" shapeId="0" xr:uid="{4ADD3D23-610E-4376-8D13-1921EA00925C}">
      <text>
        <r>
          <rPr>
            <sz val="12"/>
            <rFont val="Aptos Narrow"/>
            <family val="2"/>
            <scheme val="minor"/>
          </rPr>
          <t>The lookup_value inside the MATCH function will be "100,100"</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<sst xmlns="http://schemas.openxmlformats.org/spreadsheetml/2006/main" count="2302" uniqueCount="1029">
  <si>
    <t>Movie Title</t>
  </si>
  <si>
    <t>Category</t>
  </si>
  <si>
    <t>Minutes</t>
  </si>
  <si>
    <t>Year</t>
  </si>
  <si>
    <t>Lead Actor</t>
  </si>
  <si>
    <t>Rating</t>
  </si>
  <si>
    <t>The Shawshank Redemption</t>
  </si>
  <si>
    <t>Drama</t>
  </si>
  <si>
    <t>Tim Robbins</t>
  </si>
  <si>
    <t>The Godfather</t>
  </si>
  <si>
    <t>Marion Brando</t>
  </si>
  <si>
    <t>Pulp Fiction</t>
  </si>
  <si>
    <t>Thriller</t>
  </si>
  <si>
    <t>John Travolta</t>
  </si>
  <si>
    <t>Schindler's List</t>
  </si>
  <si>
    <t>Liam Neeson</t>
  </si>
  <si>
    <t>12 Angry Men</t>
  </si>
  <si>
    <t>Martin Balsam</t>
  </si>
  <si>
    <t>One Flew Over the Cuckoo's Nest</t>
  </si>
  <si>
    <t>Jack Nicholson</t>
  </si>
  <si>
    <t>The Dark Knight</t>
  </si>
  <si>
    <t>Action</t>
  </si>
  <si>
    <t>Christian Bale</t>
  </si>
  <si>
    <t>Star Wars</t>
  </si>
  <si>
    <t>Mark Hamill</t>
  </si>
  <si>
    <t>Casablanca</t>
  </si>
  <si>
    <t>Humphrey Bogart</t>
  </si>
  <si>
    <t>Goodfellas</t>
  </si>
  <si>
    <t>Robert De Niro</t>
  </si>
  <si>
    <t>Raiders of the Lost Ark</t>
  </si>
  <si>
    <t>Harrison Ford</t>
  </si>
  <si>
    <t>Rear Window</t>
  </si>
  <si>
    <t>James Stewart</t>
  </si>
  <si>
    <t>The Matrix</t>
  </si>
  <si>
    <t>Sci-Fi</t>
  </si>
  <si>
    <t>Keanu Reeves</t>
  </si>
  <si>
    <t>It’s A Wonderful Life</t>
  </si>
  <si>
    <t>Family</t>
  </si>
  <si>
    <t>Dr. Strangelove</t>
  </si>
  <si>
    <t>Comedy</t>
  </si>
  <si>
    <t>Peter Sellers</t>
  </si>
  <si>
    <t>North By Northwest</t>
  </si>
  <si>
    <t>Cary Grant</t>
  </si>
  <si>
    <t>Citizen Kane</t>
  </si>
  <si>
    <t>Orson Welles</t>
  </si>
  <si>
    <t>Forrest Gump</t>
  </si>
  <si>
    <t>Tom Hanks</t>
  </si>
  <si>
    <t>Monty Python and the Holy Grail</t>
  </si>
  <si>
    <t>Graham Chapman</t>
  </si>
  <si>
    <t>UP</t>
  </si>
  <si>
    <t>Edward Asner</t>
  </si>
  <si>
    <t>Singin' In The Rain</t>
  </si>
  <si>
    <t>Musical</t>
  </si>
  <si>
    <t>Gene Kelly</t>
  </si>
  <si>
    <t>2001: A Space Odyssey</t>
  </si>
  <si>
    <t>Keir Dullea</t>
  </si>
  <si>
    <t>Back To The Future</t>
  </si>
  <si>
    <t>Michael J. Fox</t>
  </si>
  <si>
    <t>All About Eve</t>
  </si>
  <si>
    <t>Bette Davis</t>
  </si>
  <si>
    <t>The Wizard Of Oz</t>
  </si>
  <si>
    <t>Judy Garland</t>
  </si>
  <si>
    <t>Ratatouille</t>
  </si>
  <si>
    <t>Patton Oswalt</t>
  </si>
  <si>
    <t>Monsters, Inc.</t>
  </si>
  <si>
    <t>John Goodman</t>
  </si>
  <si>
    <t xml:space="preserve">Question </t>
  </si>
  <si>
    <t>Answer</t>
  </si>
  <si>
    <t>Task</t>
  </si>
  <si>
    <t>Instructions</t>
  </si>
  <si>
    <t>Apply number validation (only allow values between 10 and 100) in column A.</t>
  </si>
  <si>
    <t>Use Data Validation &gt; Number and set range 10 to 100.</t>
  </si>
  <si>
    <t>Apply list validation (choose from Red, Blue, Green) in column B.</t>
  </si>
  <si>
    <t>Use Data Validation &gt; List and enter 'Red, Blue, Green'.</t>
  </si>
  <si>
    <t>Apply date validation (only allow dates after 01-Jan-2023) in column C.</t>
  </si>
  <si>
    <t>Use Data Validation &gt; Date and set minimum date to 01-Jan-2023.</t>
  </si>
  <si>
    <t>Apply text length validation (max 10 characters) in column D.</t>
  </si>
  <si>
    <t>Use Data Validation &gt; Text Length and set max length to 10.</t>
  </si>
  <si>
    <t>Apply custom validation (only even numbers) in column E.</t>
  </si>
  <si>
    <t>Use Data Validation &gt; Custom and use formula =MOD(E1,2)=0.</t>
  </si>
  <si>
    <t>Product Name</t>
  </si>
  <si>
    <t>Quantity Sold</t>
  </si>
  <si>
    <t>Salesperson</t>
  </si>
  <si>
    <t>Laptop</t>
  </si>
  <si>
    <t>Electronics</t>
  </si>
  <si>
    <t>John Doe</t>
  </si>
  <si>
    <t>Smartphone</t>
  </si>
  <si>
    <t>Jane Smith</t>
  </si>
  <si>
    <t>Washing Machine</t>
  </si>
  <si>
    <t>Appliances</t>
  </si>
  <si>
    <t>Mike Johnson</t>
  </si>
  <si>
    <t>Refrigerator</t>
  </si>
  <si>
    <t>Emily Davis</t>
  </si>
  <si>
    <t>Microwave</t>
  </si>
  <si>
    <t>Air Conditioner</t>
  </si>
  <si>
    <t>Television</t>
  </si>
  <si>
    <t>Tablet</t>
  </si>
  <si>
    <t>Blender</t>
  </si>
  <si>
    <t>Vacuum Cleaner</t>
  </si>
  <si>
    <t>Gaming Console</t>
  </si>
  <si>
    <t>Headphones</t>
  </si>
  <si>
    <t>Toaster</t>
  </si>
  <si>
    <t>Smart Watch</t>
  </si>
  <si>
    <t>Coffee Maker</t>
  </si>
  <si>
    <t>Speakers</t>
  </si>
  <si>
    <t>Printer</t>
  </si>
  <si>
    <t>Count the number of products in the Electronics category.</t>
  </si>
  <si>
    <t>Count the number of products with a rating above 8.5.</t>
  </si>
  <si>
    <t>Sum the quantity sold for products in the Appliances category.</t>
  </si>
  <si>
    <t>Sum the quantity sold by Jane Smith.</t>
  </si>
  <si>
    <t>Calculate the average quantity sold for products released after 2020.</t>
  </si>
  <si>
    <t>Count the number of products released after 2020 with a rating above 8.5.</t>
  </si>
  <si>
    <t>Calculate the weighted score by multiplying quantity sold by rating for each product.</t>
  </si>
  <si>
    <t xml:space="preserve">Questions </t>
  </si>
  <si>
    <t>calculate the average rating for Electronics products.</t>
  </si>
  <si>
    <t>Extract current year.</t>
  </si>
  <si>
    <t>Working days in December 2023.</t>
  </si>
  <si>
    <t>Format Year as "YYYY-MM-DD".</t>
  </si>
  <si>
    <t>Years between release year and today.</t>
  </si>
  <si>
    <t>Question</t>
  </si>
  <si>
    <t>ID</t>
  </si>
  <si>
    <t>Name</t>
  </si>
  <si>
    <t>Age</t>
  </si>
  <si>
    <t>City</t>
  </si>
  <si>
    <t>Department</t>
  </si>
  <si>
    <t>Salary</t>
  </si>
  <si>
    <t>Joining Date</t>
  </si>
  <si>
    <t>Alice</t>
  </si>
  <si>
    <t>New York</t>
  </si>
  <si>
    <t>HR</t>
  </si>
  <si>
    <t>Bob</t>
  </si>
  <si>
    <t>Los Angeles</t>
  </si>
  <si>
    <t>IT</t>
  </si>
  <si>
    <t>Charlie</t>
  </si>
  <si>
    <t>Chicago</t>
  </si>
  <si>
    <t>Marketing</t>
  </si>
  <si>
    <t>Diana</t>
  </si>
  <si>
    <t>Miami</t>
  </si>
  <si>
    <t>Edward</t>
  </si>
  <si>
    <t>San Francisco</t>
  </si>
  <si>
    <t>Fiona</t>
  </si>
  <si>
    <t>Sales</t>
  </si>
  <si>
    <t>George</t>
  </si>
  <si>
    <t>Hannah</t>
  </si>
  <si>
    <t>Ian</t>
  </si>
  <si>
    <t>Jake</t>
  </si>
  <si>
    <t>Part 1: Sorting</t>
  </si>
  <si>
    <t>1. Sort by Age:</t>
  </si>
  <si>
    <t>Sort the dataset by the "Age" column in ascending order.</t>
  </si>
  <si>
    <t>What is the age of the youngest employee and the oldest employee?</t>
  </si>
  <si>
    <t>2. Sort by Salary:</t>
  </si>
  <si>
    <t>Sort the dataset by the "Salary" column in descending order.</t>
  </si>
  <si>
    <t>Which employee has the highest salary and which one has the lowest?</t>
  </si>
  <si>
    <t>3. Sort by Joining Date:</t>
  </si>
  <si>
    <t>Sort the dataset by the "Joining Date" column from newest to oldest.</t>
  </si>
  <si>
    <t>Which employee joined last and who joined first?</t>
  </si>
  <si>
    <t>Part 2: Filtering</t>
  </si>
  <si>
    <t>1. Filter by Department:</t>
  </si>
  <si>
    <t>Filter the dataset to show only employees in the "IT" department.</t>
  </si>
  <si>
    <t>How many employees work in the IT department?</t>
  </si>
  <si>
    <t>2. Filter by City:</t>
  </si>
  <si>
    <t>Filter the dataset to show only employees from "Miami."</t>
  </si>
  <si>
    <t>What are the names of the employees from Miami?</t>
  </si>
  <si>
    <t>Use the advanced filter to display employees older than 30 who are in the "Sales" department.</t>
  </si>
  <si>
    <t>Who are the employees that meet this criteria?</t>
  </si>
  <si>
    <t>3. Advanced Filter (Age and Department):</t>
  </si>
  <si>
    <t>D</t>
  </si>
  <si>
    <t>B</t>
  </si>
  <si>
    <t>A</t>
  </si>
  <si>
    <t>C</t>
  </si>
  <si>
    <t>Gloria Silverstone</t>
  </si>
  <si>
    <t>AB</t>
  </si>
  <si>
    <t>Julia Carrey</t>
  </si>
  <si>
    <t>Elizabeth Diamond</t>
  </si>
  <si>
    <t>Julie Spears</t>
  </si>
  <si>
    <t>Lucille Ashe</t>
  </si>
  <si>
    <t>Jane Anderson</t>
  </si>
  <si>
    <t>Marilyn Manning</t>
  </si>
  <si>
    <t>Meryl Simpson</t>
  </si>
  <si>
    <t>Anna Newhart</t>
  </si>
  <si>
    <t>Julia Putin</t>
  </si>
  <si>
    <t>Jessica Sagan</t>
  </si>
  <si>
    <t>Margaret Streep</t>
  </si>
  <si>
    <t>Frank Lee</t>
  </si>
  <si>
    <t>Stephen Bell</t>
  </si>
  <si>
    <t>John Bradshaw</t>
  </si>
  <si>
    <t>John Jennings</t>
  </si>
  <si>
    <t>Chuck West</t>
  </si>
  <si>
    <t>Michael Hicks</t>
  </si>
  <si>
    <t>Alfred Hawking</t>
  </si>
  <si>
    <t>Dan Armstrong</t>
  </si>
  <si>
    <t>Paul Goodman</t>
  </si>
  <si>
    <t>Charles Davis</t>
  </si>
  <si>
    <t>Howard Simpson</t>
  </si>
  <si>
    <t>Andy Richards</t>
  </si>
  <si>
    <t>Right Answers</t>
  </si>
  <si>
    <t>Q-15</t>
  </si>
  <si>
    <t>Q-14</t>
  </si>
  <si>
    <t>Q-13</t>
  </si>
  <si>
    <t>Q-12</t>
  </si>
  <si>
    <t>Q-11</t>
  </si>
  <si>
    <t>Q-10</t>
  </si>
  <si>
    <t>Q-9</t>
  </si>
  <si>
    <t>Q-8</t>
  </si>
  <si>
    <t>Q-7</t>
  </si>
  <si>
    <t>Q-6</t>
  </si>
  <si>
    <t>Q-5</t>
  </si>
  <si>
    <t>Q-4</t>
  </si>
  <si>
    <t>Q-3</t>
  </si>
  <si>
    <t>Q-2</t>
  </si>
  <si>
    <t>Q-1</t>
  </si>
  <si>
    <t>Employee Name</t>
  </si>
  <si>
    <t>Right Answer</t>
  </si>
  <si>
    <t>Use Seperate Sheet for solving these queries &amp; put the link of sheet here using Hyperlink</t>
  </si>
  <si>
    <r>
      <t>12. Reverse Extraction</t>
    </r>
    <r>
      <rPr>
        <sz val="11"/>
        <color theme="1"/>
        <rFont val="Aptos Narrow"/>
        <family val="2"/>
        <scheme val="minor"/>
      </rPr>
      <t xml:space="preserve">: From the </t>
    </r>
    <r>
      <rPr>
        <sz val="10"/>
        <color theme="1"/>
        <rFont val="Arial Unicode MS"/>
      </rPr>
      <t>Phone Number</t>
    </r>
    <r>
      <rPr>
        <sz val="11"/>
        <color theme="1"/>
        <rFont val="Aptos Narrow"/>
        <family val="2"/>
        <scheme val="minor"/>
      </rPr>
      <t xml:space="preserve">, reverse the order of the area code and last 4 digits (e.g., for </t>
    </r>
    <r>
      <rPr>
        <sz val="10"/>
        <color theme="1"/>
        <rFont val="Arial Unicode MS"/>
      </rPr>
      <t>+1-202-555-0123 x101A</t>
    </r>
    <r>
      <rPr>
        <sz val="11"/>
        <color theme="1"/>
        <rFont val="Aptos Narrow"/>
        <family val="2"/>
        <scheme val="minor"/>
      </rPr>
      <t xml:space="preserve">, return </t>
    </r>
    <r>
      <rPr>
        <sz val="10"/>
        <color theme="1"/>
        <rFont val="Arial Unicode MS"/>
      </rPr>
      <t>202-0123</t>
    </r>
    <r>
      <rPr>
        <sz val="11"/>
        <color theme="1"/>
        <rFont val="Aptos Narrow"/>
        <family val="2"/>
        <scheme val="minor"/>
      </rPr>
      <t>).</t>
    </r>
  </si>
  <si>
    <r>
      <t xml:space="preserve">Example: For </t>
    </r>
    <r>
      <rPr>
        <sz val="10"/>
        <color theme="1"/>
        <rFont val="Arial Unicode MS"/>
      </rPr>
      <t>John Alexander Smith</t>
    </r>
    <r>
      <rPr>
        <sz val="11"/>
        <color theme="1"/>
        <rFont val="Aptos Narrow"/>
        <family val="2"/>
        <scheme val="minor"/>
      </rPr>
      <t xml:space="preserve">, </t>
    </r>
    <r>
      <rPr>
        <sz val="10"/>
        <color theme="1"/>
        <rFont val="Arial Unicode MS"/>
      </rPr>
      <t>Human Resources</t>
    </r>
    <r>
      <rPr>
        <sz val="11"/>
        <color theme="1"/>
        <rFont val="Aptos Narrow"/>
        <family val="2"/>
        <scheme val="minor"/>
      </rPr>
      <t xml:space="preserve">, and </t>
    </r>
    <r>
      <rPr>
        <sz val="10"/>
        <color theme="1"/>
        <rFont val="Arial Unicode MS"/>
      </rPr>
      <t>2015</t>
    </r>
    <r>
      <rPr>
        <sz val="11"/>
        <color theme="1"/>
        <rFont val="Aptos Narrow"/>
        <family val="2"/>
        <scheme val="minor"/>
      </rPr>
      <t xml:space="preserve">, the result is </t>
    </r>
    <r>
      <rPr>
        <sz val="10"/>
        <color theme="1"/>
        <rFont val="Arial Unicode MS"/>
      </rPr>
      <t>JAS-H-15</t>
    </r>
    <r>
      <rPr>
        <sz val="11"/>
        <color theme="1"/>
        <rFont val="Aptos Narrow"/>
        <family val="2"/>
        <scheme val="minor"/>
      </rPr>
      <t>.</t>
    </r>
  </si>
  <si>
    <r>
      <t xml:space="preserve">The last two digits of the year in the </t>
    </r>
    <r>
      <rPr>
        <sz val="10"/>
        <color theme="1"/>
        <rFont val="Arial Unicode MS"/>
      </rPr>
      <t>Hire Date</t>
    </r>
    <r>
      <rPr>
        <sz val="11"/>
        <color theme="1"/>
        <rFont val="Aptos Narrow"/>
        <family val="2"/>
        <scheme val="minor"/>
      </rPr>
      <t>.</t>
    </r>
  </si>
  <si>
    <r>
      <t xml:space="preserve">The first letter of the </t>
    </r>
    <r>
      <rPr>
        <sz val="10"/>
        <color theme="1"/>
        <rFont val="Arial Unicode MS"/>
      </rPr>
      <t>Department</t>
    </r>
    <r>
      <rPr>
        <sz val="11"/>
        <color theme="1"/>
        <rFont val="Aptos Narrow"/>
        <family val="2"/>
        <scheme val="minor"/>
      </rPr>
      <t>.</t>
    </r>
  </si>
  <si>
    <r>
      <t xml:space="preserve">The initials of the </t>
    </r>
    <r>
      <rPr>
        <sz val="10"/>
        <color theme="1"/>
        <rFont val="Arial Unicode MS"/>
      </rPr>
      <t>Full Name</t>
    </r>
    <r>
      <rPr>
        <sz val="11"/>
        <color theme="1"/>
        <rFont val="Aptos Narrow"/>
        <family val="2"/>
        <scheme val="minor"/>
      </rPr>
      <t>.</t>
    </r>
  </si>
  <si>
    <r>
      <t>11. Advanced Combination</t>
    </r>
    <r>
      <rPr>
        <sz val="11"/>
        <color theme="1"/>
        <rFont val="Aptos Narrow"/>
        <family val="2"/>
        <scheme val="minor"/>
      </rPr>
      <t>: Create a unique string by combining:</t>
    </r>
  </si>
  <si>
    <t>Challenge Problems</t>
  </si>
  <si>
    <r>
      <t>10. City Code Extraction</t>
    </r>
    <r>
      <rPr>
        <sz val="11"/>
        <color theme="1"/>
        <rFont val="Aptos Narrow"/>
        <family val="2"/>
        <scheme val="minor"/>
      </rPr>
      <t xml:space="preserve">: Extract the city code from the </t>
    </r>
    <r>
      <rPr>
        <sz val="10"/>
        <color theme="1"/>
        <rFont val="Arial Unicode MS"/>
      </rPr>
      <t>Email</t>
    </r>
    <r>
      <rPr>
        <sz val="11"/>
        <color theme="1"/>
        <rFont val="Aptos Narrow"/>
        <family val="2"/>
        <scheme val="minor"/>
      </rPr>
      <t xml:space="preserve"> (e.g., </t>
    </r>
    <r>
      <rPr>
        <sz val="10"/>
        <color theme="1"/>
        <rFont val="Arial Unicode MS"/>
      </rPr>
      <t>nyc</t>
    </r>
    <r>
      <rPr>
        <sz val="11"/>
        <color theme="1"/>
        <rFont val="Aptos Narrow"/>
        <family val="2"/>
        <scheme val="minor"/>
      </rPr>
      <t xml:space="preserve"> in </t>
    </r>
    <r>
      <rPr>
        <sz val="10"/>
        <color theme="1"/>
        <rFont val="Arial Unicode MS"/>
      </rPr>
      <t>john.smith@nyc.company.com</t>
    </r>
    <r>
      <rPr>
        <sz val="11"/>
        <color theme="1"/>
        <rFont val="Aptos Narrow"/>
        <family val="2"/>
        <scheme val="minor"/>
      </rPr>
      <t xml:space="preserve">) and verify it matches the city in the </t>
    </r>
    <r>
      <rPr>
        <sz val="10"/>
        <color theme="1"/>
        <rFont val="Arial Unicode MS"/>
      </rPr>
      <t>Address</t>
    </r>
    <r>
      <rPr>
        <sz val="11"/>
        <color theme="1"/>
        <rFont val="Aptos Narrow"/>
        <family val="2"/>
        <scheme val="minor"/>
      </rPr>
      <t xml:space="preserve"> column.</t>
    </r>
  </si>
  <si>
    <r>
      <t xml:space="preserve">Example: For </t>
    </r>
    <r>
      <rPr>
        <sz val="10"/>
        <color theme="1"/>
        <rFont val="Arial Unicode MS"/>
      </rPr>
      <t>EMP001</t>
    </r>
    <r>
      <rPr>
        <sz val="11"/>
        <color theme="1"/>
        <rFont val="Aptos Narrow"/>
        <family val="2"/>
        <scheme val="minor"/>
      </rPr>
      <t xml:space="preserve">, </t>
    </r>
    <r>
      <rPr>
        <sz val="10"/>
        <color theme="1"/>
        <rFont val="Arial Unicode MS"/>
      </rPr>
      <t>Senior HR Manager</t>
    </r>
    <r>
      <rPr>
        <sz val="11"/>
        <color theme="1"/>
        <rFont val="Aptos Narrow"/>
        <family val="2"/>
        <scheme val="minor"/>
      </rPr>
      <t xml:space="preserve">, and </t>
    </r>
    <r>
      <rPr>
        <sz val="10"/>
        <color theme="1"/>
        <rFont val="Arial Unicode MS"/>
      </rPr>
      <t>23</t>
    </r>
    <r>
      <rPr>
        <sz val="11"/>
        <color theme="1"/>
        <rFont val="Aptos Narrow"/>
        <family val="2"/>
        <scheme val="minor"/>
      </rPr>
      <t xml:space="preserve">, the result is </t>
    </r>
    <r>
      <rPr>
        <sz val="10"/>
        <color theme="1"/>
        <rFont val="Arial Unicode MS"/>
      </rPr>
      <t>EMP001-SEN-23</t>
    </r>
    <r>
      <rPr>
        <sz val="11"/>
        <color theme="1"/>
        <rFont val="Aptos Narrow"/>
        <family val="2"/>
        <scheme val="minor"/>
      </rPr>
      <t>.</t>
    </r>
  </si>
  <si>
    <r>
      <t xml:space="preserve">Combine the </t>
    </r>
    <r>
      <rPr>
        <sz val="10"/>
        <color theme="1"/>
        <rFont val="Arial Unicode MS"/>
      </rPr>
      <t>Employee ID</t>
    </r>
    <r>
      <rPr>
        <sz val="11"/>
        <color theme="1"/>
        <rFont val="Aptos Narrow"/>
        <family val="2"/>
        <scheme val="minor"/>
      </rPr>
      <t xml:space="preserve">, the first 3 letters of the </t>
    </r>
    <r>
      <rPr>
        <sz val="10"/>
        <color theme="1"/>
        <rFont val="Arial Unicode MS"/>
      </rPr>
      <t>Job Title</t>
    </r>
    <r>
      <rPr>
        <sz val="11"/>
        <color theme="1"/>
        <rFont val="Aptos Narrow"/>
        <family val="2"/>
        <scheme val="minor"/>
      </rPr>
      <t xml:space="preserve">, and the first 2 digits of the hierarchical level from the </t>
    </r>
    <r>
      <rPr>
        <sz val="10"/>
        <color theme="1"/>
        <rFont val="Arial Unicode MS"/>
      </rPr>
      <t>Office Code</t>
    </r>
    <r>
      <rPr>
        <sz val="11"/>
        <color theme="1"/>
        <rFont val="Aptos Narrow"/>
        <family val="2"/>
        <scheme val="minor"/>
      </rPr>
      <t>.</t>
    </r>
  </si>
  <si>
    <r>
      <t>9. Generate Employee Identification Code</t>
    </r>
    <r>
      <rPr>
        <sz val="11"/>
        <color theme="1"/>
        <rFont val="Aptos Narrow"/>
        <family val="2"/>
        <scheme val="minor"/>
      </rPr>
      <t>: From multiple columns:</t>
    </r>
  </si>
  <si>
    <t>Category 4: Multi-Step Formulas</t>
  </si>
  <si>
    <t>Employees earning &gt;100,000 as "Senior".</t>
  </si>
  <si>
    <t>Employees earning 75,000–100,000 as "Mid-level".</t>
  </si>
  <si>
    <t>Employees earning &lt;75,000 as "Junior".</t>
  </si>
  <si>
    <r>
      <t>8. Salary Categorization</t>
    </r>
    <r>
      <rPr>
        <sz val="11"/>
        <color theme="1"/>
        <rFont val="Aptos Narrow"/>
        <family val="2"/>
        <scheme val="minor"/>
      </rPr>
      <t xml:space="preserve">: From the </t>
    </r>
    <r>
      <rPr>
        <sz val="10"/>
        <color theme="1"/>
        <rFont val="Arial Unicode MS"/>
      </rPr>
      <t>Salary</t>
    </r>
    <r>
      <rPr>
        <sz val="11"/>
        <color theme="1"/>
        <rFont val="Aptos Narrow"/>
        <family val="2"/>
        <scheme val="minor"/>
      </rPr>
      <t xml:space="preserve"> column, classify:</t>
    </r>
  </si>
  <si>
    <r>
      <t xml:space="preserve">Generate initials (e.g., </t>
    </r>
    <r>
      <rPr>
        <sz val="10"/>
        <color theme="1"/>
        <rFont val="Arial Unicode MS"/>
      </rPr>
      <t>JAS</t>
    </r>
    <r>
      <rPr>
        <sz val="11"/>
        <color theme="1"/>
        <rFont val="Aptos Narrow"/>
        <family val="2"/>
        <scheme val="minor"/>
      </rPr>
      <t xml:space="preserve"> for </t>
    </r>
    <r>
      <rPr>
        <sz val="10"/>
        <color theme="1"/>
        <rFont val="Arial Unicode MS"/>
      </rPr>
      <t>John Alexander Smith</t>
    </r>
    <r>
      <rPr>
        <sz val="11"/>
        <color theme="1"/>
        <rFont val="Aptos Narrow"/>
        <family val="2"/>
        <scheme val="minor"/>
      </rPr>
      <t>).</t>
    </r>
  </si>
  <si>
    <r>
      <t xml:space="preserve">Extract the middle name (e.g., </t>
    </r>
    <r>
      <rPr>
        <sz val="10"/>
        <color theme="1"/>
        <rFont val="Arial Unicode MS"/>
      </rPr>
      <t>Alexander</t>
    </r>
    <r>
      <rPr>
        <sz val="11"/>
        <color theme="1"/>
        <rFont val="Aptos Narrow"/>
        <family val="2"/>
        <scheme val="minor"/>
      </rPr>
      <t>).</t>
    </r>
  </si>
  <si>
    <r>
      <t>7. Extract Middle and Initials</t>
    </r>
    <r>
      <rPr>
        <sz val="11"/>
        <color theme="1"/>
        <rFont val="Aptos Narrow"/>
        <family val="2"/>
        <scheme val="minor"/>
      </rPr>
      <t xml:space="preserve">: From the </t>
    </r>
    <r>
      <rPr>
        <sz val="10"/>
        <color theme="1"/>
        <rFont val="Arial Unicode MS"/>
      </rPr>
      <t>Full Name</t>
    </r>
    <r>
      <rPr>
        <sz val="11"/>
        <color theme="1"/>
        <rFont val="Aptos Narrow"/>
        <family val="2"/>
        <scheme val="minor"/>
      </rPr>
      <t xml:space="preserve"> column:</t>
    </r>
  </si>
  <si>
    <r>
      <t>6. Identify Office Age</t>
    </r>
    <r>
      <rPr>
        <sz val="11"/>
        <color theme="1"/>
        <rFont val="Aptos Narrow"/>
        <family val="2"/>
        <scheme val="minor"/>
      </rPr>
      <t xml:space="preserve">: Using </t>
    </r>
    <r>
      <rPr>
        <sz val="10"/>
        <color theme="1"/>
        <rFont val="Arial Unicode MS"/>
      </rPr>
      <t>Office Code</t>
    </r>
    <r>
      <rPr>
        <sz val="11"/>
        <color theme="1"/>
        <rFont val="Aptos Narrow"/>
        <family val="2"/>
        <scheme val="minor"/>
      </rPr>
      <t xml:space="preserve"> and </t>
    </r>
    <r>
      <rPr>
        <sz val="10"/>
        <color theme="1"/>
        <rFont val="Arial Unicode MS"/>
      </rPr>
      <t>Hire Date</t>
    </r>
    <r>
      <rPr>
        <sz val="11"/>
        <color theme="1"/>
        <rFont val="Aptos Narrow"/>
        <family val="2"/>
        <scheme val="minor"/>
      </rPr>
      <t xml:space="preserve">, calculate the difference between the </t>
    </r>
    <r>
      <rPr>
        <sz val="10"/>
        <color theme="1"/>
        <rFont val="Arial Unicode MS"/>
      </rPr>
      <t>Hire Date</t>
    </r>
    <r>
      <rPr>
        <sz val="11"/>
        <color theme="1"/>
        <rFont val="Aptos Narrow"/>
        <family val="2"/>
        <scheme val="minor"/>
      </rPr>
      <t xml:space="preserve"> year and the hierarchical level (e.g., </t>
    </r>
    <r>
      <rPr>
        <sz val="10"/>
        <color theme="1"/>
        <rFont val="Arial Unicode MS"/>
      </rPr>
      <t>2015 - 23</t>
    </r>
    <r>
      <rPr>
        <sz val="11"/>
        <color theme="1"/>
        <rFont val="Aptos Narrow"/>
        <family val="2"/>
        <scheme val="minor"/>
      </rPr>
      <t>).</t>
    </r>
  </si>
  <si>
    <t>Category 3: Nested Operations</t>
  </si>
  <si>
    <r>
      <t xml:space="preserve">State and ZIP (e.g., </t>
    </r>
    <r>
      <rPr>
        <sz val="10"/>
        <color theme="1"/>
        <rFont val="Arial Unicode MS"/>
      </rPr>
      <t>NY 10001</t>
    </r>
    <r>
      <rPr>
        <sz val="11"/>
        <color theme="1"/>
        <rFont val="Aptos Narrow"/>
        <family val="2"/>
        <scheme val="minor"/>
      </rPr>
      <t>).</t>
    </r>
  </si>
  <si>
    <r>
      <t xml:space="preserve">City Name (e.g., </t>
    </r>
    <r>
      <rPr>
        <sz val="10"/>
        <color theme="1"/>
        <rFont val="Arial Unicode MS"/>
      </rPr>
      <t>New York</t>
    </r>
    <r>
      <rPr>
        <sz val="11"/>
        <color theme="1"/>
        <rFont val="Aptos Narrow"/>
        <family val="2"/>
        <scheme val="minor"/>
      </rPr>
      <t>).</t>
    </r>
  </si>
  <si>
    <r>
      <t xml:space="preserve">Street Name (e.g., </t>
    </r>
    <r>
      <rPr>
        <sz val="10"/>
        <color theme="1"/>
        <rFont val="Arial Unicode MS"/>
      </rPr>
      <t>Elm St</t>
    </r>
    <r>
      <rPr>
        <sz val="11"/>
        <color theme="1"/>
        <rFont val="Aptos Narrow"/>
        <family val="2"/>
        <scheme val="minor"/>
      </rPr>
      <t xml:space="preserve"> from </t>
    </r>
    <r>
      <rPr>
        <sz val="10"/>
        <color theme="1"/>
        <rFont val="Arial Unicode MS"/>
      </rPr>
      <t>123 Elm St, New York, NY 10001</t>
    </r>
    <r>
      <rPr>
        <sz val="11"/>
        <color theme="1"/>
        <rFont val="Aptos Narrow"/>
        <family val="2"/>
        <scheme val="minor"/>
      </rPr>
      <t>).</t>
    </r>
  </si>
  <si>
    <r>
      <t>5. Split Address</t>
    </r>
    <r>
      <rPr>
        <sz val="11"/>
        <color theme="1"/>
        <rFont val="Aptos Narrow"/>
        <family val="2"/>
        <scheme val="minor"/>
      </rPr>
      <t xml:space="preserve">: From the </t>
    </r>
    <r>
      <rPr>
        <sz val="10"/>
        <color theme="1"/>
        <rFont val="Arial Unicode MS"/>
      </rPr>
      <t>Address</t>
    </r>
    <r>
      <rPr>
        <sz val="11"/>
        <color theme="1"/>
        <rFont val="Aptos Narrow"/>
        <family val="2"/>
        <scheme val="minor"/>
      </rPr>
      <t xml:space="preserve"> column, extract:</t>
    </r>
  </si>
  <si>
    <r>
      <t xml:space="preserve">Extract the performance score (e.g., </t>
    </r>
    <r>
      <rPr>
        <sz val="10"/>
        <color theme="1"/>
        <rFont val="Arial Unicode MS"/>
      </rPr>
      <t>9</t>
    </r>
    <r>
      <rPr>
        <sz val="11"/>
        <color theme="1"/>
        <rFont val="Aptos Narrow"/>
        <family val="2"/>
        <scheme val="minor"/>
      </rPr>
      <t xml:space="preserve"> from </t>
    </r>
    <r>
      <rPr>
        <sz val="10"/>
        <color theme="1"/>
        <rFont val="Arial Unicode MS"/>
      </rPr>
      <t>EXC-9-2022</t>
    </r>
    <r>
      <rPr>
        <sz val="11"/>
        <color theme="1"/>
        <rFont val="Aptos Narrow"/>
        <family val="2"/>
        <scheme val="minor"/>
      </rPr>
      <t>).</t>
    </r>
  </si>
  <si>
    <r>
      <t xml:space="preserve">Extract the year of the last review (e.g., </t>
    </r>
    <r>
      <rPr>
        <sz val="10"/>
        <color theme="1"/>
        <rFont val="Arial Unicode MS"/>
      </rPr>
      <t>2022</t>
    </r>
    <r>
      <rPr>
        <sz val="11"/>
        <color theme="1"/>
        <rFont val="Aptos Narrow"/>
        <family val="2"/>
        <scheme val="minor"/>
      </rPr>
      <t xml:space="preserve"> from </t>
    </r>
    <r>
      <rPr>
        <sz val="10"/>
        <color theme="1"/>
        <rFont val="Arial Unicode MS"/>
      </rPr>
      <t>EXC-9-2022</t>
    </r>
    <r>
      <rPr>
        <sz val="11"/>
        <color theme="1"/>
        <rFont val="Aptos Narrow"/>
        <family val="2"/>
        <scheme val="minor"/>
      </rPr>
      <t>).</t>
    </r>
  </si>
  <si>
    <r>
      <t xml:space="preserve">Extract performance levels (e.g., </t>
    </r>
    <r>
      <rPr>
        <sz val="10"/>
        <color theme="1"/>
        <rFont val="Arial Unicode MS"/>
      </rPr>
      <t>EXC</t>
    </r>
    <r>
      <rPr>
        <sz val="11"/>
        <color theme="1"/>
        <rFont val="Aptos Narrow"/>
        <family val="2"/>
        <scheme val="minor"/>
      </rPr>
      <t xml:space="preserve">, </t>
    </r>
    <r>
      <rPr>
        <sz val="10"/>
        <color theme="1"/>
        <rFont val="Arial Unicode MS"/>
      </rPr>
      <t>SAT</t>
    </r>
    <r>
      <rPr>
        <sz val="11"/>
        <color theme="1"/>
        <rFont val="Aptos Narrow"/>
        <family val="2"/>
        <scheme val="minor"/>
      </rPr>
      <t xml:space="preserve">, </t>
    </r>
    <r>
      <rPr>
        <sz val="10"/>
        <color theme="1"/>
        <rFont val="Arial Unicode MS"/>
      </rPr>
      <t>UNS</t>
    </r>
    <r>
      <rPr>
        <sz val="11"/>
        <color theme="1"/>
        <rFont val="Aptos Narrow"/>
        <family val="2"/>
        <scheme val="minor"/>
      </rPr>
      <t xml:space="preserve">) from the </t>
    </r>
    <r>
      <rPr>
        <sz val="10"/>
        <color theme="1"/>
        <rFont val="Arial Unicode MS"/>
      </rPr>
      <t>Performance Code</t>
    </r>
    <r>
      <rPr>
        <sz val="11"/>
        <color theme="1"/>
        <rFont val="Aptos Narrow"/>
        <family val="2"/>
        <scheme val="minor"/>
      </rPr>
      <t>.</t>
    </r>
  </si>
  <si>
    <r>
      <t>4. Extract Performance Details</t>
    </r>
    <r>
      <rPr>
        <sz val="11"/>
        <color theme="1"/>
        <rFont val="Aptos Narrow"/>
        <family val="2"/>
        <scheme val="minor"/>
      </rPr>
      <t>:</t>
    </r>
  </si>
  <si>
    <t>Category 2: Advanced Splitting</t>
  </si>
  <si>
    <r>
      <t xml:space="preserve">The subdomain (e.g., </t>
    </r>
    <r>
      <rPr>
        <sz val="10"/>
        <color theme="1"/>
        <rFont val="Arial Unicode MS"/>
      </rPr>
      <t>nyc</t>
    </r>
    <r>
      <rPr>
        <sz val="11"/>
        <color theme="1"/>
        <rFont val="Aptos Narrow"/>
        <family val="2"/>
        <scheme val="minor"/>
      </rPr>
      <t>).</t>
    </r>
  </si>
  <si>
    <r>
      <t xml:space="preserve">The username before the "@" in the </t>
    </r>
    <r>
      <rPr>
        <sz val="10"/>
        <color theme="1"/>
        <rFont val="Arial Unicode MS"/>
      </rPr>
      <t>Email</t>
    </r>
    <r>
      <rPr>
        <sz val="11"/>
        <color theme="1"/>
        <rFont val="Aptos Narrow"/>
        <family val="2"/>
        <scheme val="minor"/>
      </rPr>
      <t xml:space="preserve"> (e.g., </t>
    </r>
    <r>
      <rPr>
        <sz val="10"/>
        <color theme="1"/>
        <rFont val="Arial Unicode MS"/>
      </rPr>
      <t>john.smith</t>
    </r>
    <r>
      <rPr>
        <sz val="11"/>
        <color theme="1"/>
        <rFont val="Aptos Narrow"/>
        <family val="2"/>
        <scheme val="minor"/>
      </rPr>
      <t>).</t>
    </r>
  </si>
  <si>
    <r>
      <t>3. Extract Email Prefix and Subdomain</t>
    </r>
    <r>
      <rPr>
        <sz val="11"/>
        <color theme="1"/>
        <rFont val="Aptos Narrow"/>
        <family val="2"/>
        <scheme val="minor"/>
      </rPr>
      <t>: Extract:</t>
    </r>
  </si>
  <si>
    <r>
      <t>2. Get Unique Employee Code</t>
    </r>
    <r>
      <rPr>
        <sz val="11"/>
        <color theme="1"/>
        <rFont val="Aptos Narrow"/>
        <family val="2"/>
        <scheme val="minor"/>
      </rPr>
      <t xml:space="preserve">: Combine the first 3 letters of the </t>
    </r>
    <r>
      <rPr>
        <sz val="10"/>
        <color theme="1"/>
        <rFont val="Arial Unicode MS"/>
      </rPr>
      <t>Full Name</t>
    </r>
    <r>
      <rPr>
        <sz val="11"/>
        <color theme="1"/>
        <rFont val="Aptos Narrow"/>
        <family val="2"/>
        <scheme val="minor"/>
      </rPr>
      <t xml:space="preserve">, first 3 letters of the </t>
    </r>
    <r>
      <rPr>
        <sz val="10"/>
        <color theme="1"/>
        <rFont val="Arial Unicode MS"/>
      </rPr>
      <t>Department</t>
    </r>
    <r>
      <rPr>
        <sz val="11"/>
        <color theme="1"/>
        <rFont val="Aptos Narrow"/>
        <family val="2"/>
        <scheme val="minor"/>
      </rPr>
      <t xml:space="preserve">, and the last 4 digits of the </t>
    </r>
    <r>
      <rPr>
        <sz val="10"/>
        <color theme="1"/>
        <rFont val="Arial Unicode MS"/>
      </rPr>
      <t>Phone Number</t>
    </r>
    <r>
      <rPr>
        <sz val="11"/>
        <color theme="1"/>
        <rFont val="Aptos Narrow"/>
        <family val="2"/>
        <scheme val="minor"/>
      </rPr>
      <t xml:space="preserve"> to create a unique code.</t>
    </r>
  </si>
  <si>
    <r>
      <t xml:space="preserve">The floor/department code (e.g., </t>
    </r>
    <r>
      <rPr>
        <sz val="10"/>
        <color theme="1"/>
        <rFont val="Arial Unicode MS"/>
      </rPr>
      <t>01</t>
    </r>
    <r>
      <rPr>
        <sz val="11"/>
        <color theme="1"/>
        <rFont val="Aptos Narrow"/>
        <family val="2"/>
        <scheme val="minor"/>
      </rPr>
      <t>).</t>
    </r>
  </si>
  <si>
    <r>
      <t xml:space="preserve">The hierarchical level (e.g., </t>
    </r>
    <r>
      <rPr>
        <sz val="10"/>
        <color theme="1"/>
        <rFont val="Arial Unicode MS"/>
      </rPr>
      <t>23</t>
    </r>
    <r>
      <rPr>
        <sz val="11"/>
        <color theme="1"/>
        <rFont val="Aptos Narrow"/>
        <family val="2"/>
        <scheme val="minor"/>
      </rPr>
      <t>).</t>
    </r>
  </si>
  <si>
    <r>
      <t xml:space="preserve">The state code (e.g., </t>
    </r>
    <r>
      <rPr>
        <sz val="10"/>
        <color theme="1"/>
        <rFont val="Arial Unicode MS"/>
      </rPr>
      <t>NY</t>
    </r>
    <r>
      <rPr>
        <sz val="11"/>
        <color theme="1"/>
        <rFont val="Aptos Narrow"/>
        <family val="2"/>
        <scheme val="minor"/>
      </rPr>
      <t>).</t>
    </r>
  </si>
  <si>
    <r>
      <t xml:space="preserve">The main office number (e.g., </t>
    </r>
    <r>
      <rPr>
        <sz val="10"/>
        <color theme="1"/>
        <rFont val="Arial Unicode MS"/>
      </rPr>
      <t>101</t>
    </r>
    <r>
      <rPr>
        <sz val="11"/>
        <color theme="1"/>
        <rFont val="Aptos Narrow"/>
        <family val="2"/>
        <scheme val="minor"/>
      </rPr>
      <t xml:space="preserve"> from </t>
    </r>
    <r>
      <rPr>
        <sz val="10"/>
        <color theme="1"/>
        <rFont val="Arial Unicode MS"/>
      </rPr>
      <t>OFC-101-NY-23-01</t>
    </r>
    <r>
      <rPr>
        <sz val="11"/>
        <color theme="1"/>
        <rFont val="Aptos Narrow"/>
        <family val="2"/>
        <scheme val="minor"/>
      </rPr>
      <t>).</t>
    </r>
  </si>
  <si>
    <r>
      <t>1. Extract Hierarchical Codes</t>
    </r>
    <r>
      <rPr>
        <sz val="11"/>
        <color theme="1"/>
        <rFont val="Aptos Narrow"/>
        <family val="2"/>
        <scheme val="minor"/>
      </rPr>
      <t xml:space="preserve">: From the </t>
    </r>
    <r>
      <rPr>
        <sz val="10"/>
        <color theme="1"/>
        <rFont val="Arial Unicode MS"/>
      </rPr>
      <t>Office Code</t>
    </r>
    <r>
      <rPr>
        <sz val="11"/>
        <color theme="1"/>
        <rFont val="Aptos Narrow"/>
        <family val="2"/>
        <scheme val="minor"/>
      </rPr>
      <t>, extract:</t>
    </r>
  </si>
  <si>
    <t>Category 1: Text Extraction</t>
  </si>
  <si>
    <t>432 Cedar St, New York, NY 10001</t>
  </si>
  <si>
    <t>UNS-6-2021</t>
  </si>
  <si>
    <t>11/13/2020</t>
  </si>
  <si>
    <t>+1-202-555-2829 x151O</t>
  </si>
  <si>
    <t>OFC-115-NY-01-15</t>
  </si>
  <si>
    <t>brian.mitchell@nyc.company.com</t>
  </si>
  <si>
    <t>Finance</t>
  </si>
  <si>
    <t>Junior Accountant</t>
  </si>
  <si>
    <t>Brian Edward Mitchell</t>
  </si>
  <si>
    <t>EMP015</t>
  </si>
  <si>
    <t>654 Cypress Ave, Las Vegas, NV 89101</t>
  </si>
  <si>
    <t>EXC-8-2022</t>
  </si>
  <si>
    <t>03/05/2019</t>
  </si>
  <si>
    <t>+1-702-555-2728 x141N</t>
  </si>
  <si>
    <t>OFC-114-NV-22-14</t>
  </si>
  <si>
    <t>angela.carter@las.company.com</t>
  </si>
  <si>
    <t>Marketing Director</t>
  </si>
  <si>
    <t>Angela Marie Carter</t>
  </si>
  <si>
    <t>EMP014</t>
  </si>
  <si>
    <t>234 Maple Ct, Austin, TX 78701</t>
  </si>
  <si>
    <t>EXC-9-2021</t>
  </si>
  <si>
    <t>06/11/2017</t>
  </si>
  <si>
    <t>+1-737-555-2627 x131M</t>
  </si>
  <si>
    <t>OFC-113-TX-04-13</t>
  </si>
  <si>
    <t>daniel.harris@aus.company.com</t>
  </si>
  <si>
    <t>IT Research</t>
  </si>
  <si>
    <t>Data Scientist</t>
  </si>
  <si>
    <t>Daniel Harris</t>
  </si>
  <si>
    <t>EMP013</t>
  </si>
  <si>
    <t>321 Dogwood Ln, Denver, CO 80201</t>
  </si>
  <si>
    <t>SAT-7-2020</t>
  </si>
  <si>
    <t>10/17/2018</t>
  </si>
  <si>
    <t>+1-720-555-2526 x121L</t>
  </si>
  <si>
    <t>OFC-112-CO-07-12</t>
  </si>
  <si>
    <t>karen.evans@den.company.com</t>
  </si>
  <si>
    <t>HR Development</t>
  </si>
  <si>
    <t>Training Specialist</t>
  </si>
  <si>
    <t>Karen Michelle Evans</t>
  </si>
  <si>
    <t>EMP012</t>
  </si>
  <si>
    <t>123 Willow Dr, Miami, FL 33101</t>
  </si>
  <si>
    <t>SAT-8-2021</t>
  </si>
  <si>
    <t>04/20/2016</t>
  </si>
  <si>
    <t>+1-305-555-2425 x111K</t>
  </si>
  <si>
    <t>OFC-111-FL-03-11</t>
  </si>
  <si>
    <t>christopher.scott@mia.company.com</t>
  </si>
  <si>
    <t>Projects</t>
  </si>
  <si>
    <t>Senior Project Manager</t>
  </si>
  <si>
    <t>Christopher Lee Scott</t>
  </si>
  <si>
    <t>EMP011</t>
  </si>
  <si>
    <t>678 Poplar Ave, Chicago, IL 60601</t>
  </si>
  <si>
    <t>EXC-9-2022</t>
  </si>
  <si>
    <t>08/01/2021</t>
  </si>
  <si>
    <t>+1-312-555-2223 x101J</t>
  </si>
  <si>
    <t>OFC-110-IL-05-10</t>
  </si>
  <si>
    <t>patricia.anderson@chi.company.com</t>
  </si>
  <si>
    <t>Legal</t>
  </si>
  <si>
    <t>Legal Counsel</t>
  </si>
  <si>
    <t>Patricia Anderson</t>
  </si>
  <si>
    <t>EMP010</t>
  </si>
  <si>
    <t>876 Oakwood Blvd, Boston, MA 02101</t>
  </si>
  <si>
    <t>EXC-10-2020</t>
  </si>
  <si>
    <t>12/25/2012</t>
  </si>
  <si>
    <t>+1-617-555-2021 x901I</t>
  </si>
  <si>
    <t>OFC-109-MA-10-09</t>
  </si>
  <si>
    <t>robert.miller@bos.company.com</t>
  </si>
  <si>
    <t>IT Support</t>
  </si>
  <si>
    <t>IT Manager</t>
  </si>
  <si>
    <t>Robert Miller</t>
  </si>
  <si>
    <t>EMP009</t>
  </si>
  <si>
    <t>543 Aspen Ct, Phoenix, AZ 85001</t>
  </si>
  <si>
    <t>UNS-5-2021</t>
  </si>
  <si>
    <t>06/14/2019</t>
  </si>
  <si>
    <t>+1-602-555-1819 x801H</t>
  </si>
  <si>
    <t>OFC-108-AZ-21-08</t>
  </si>
  <si>
    <t>barbara.garcia@phx.company.com</t>
  </si>
  <si>
    <t>Logistics</t>
  </si>
  <si>
    <t>Logistics Specialist</t>
  </si>
  <si>
    <t>Barbara Garcia</t>
  </si>
  <si>
    <t>EMP008</t>
  </si>
  <si>
    <t>321 Birch Rd, Seattle, WA 98101</t>
  </si>
  <si>
    <t>02/28/2013</t>
  </si>
  <si>
    <t>+1-206-555-1618 x701G</t>
  </si>
  <si>
    <t>OFC-107-WA-11-07</t>
  </si>
  <si>
    <t>james.wilson@sea.company.com</t>
  </si>
  <si>
    <t>Administration</t>
  </si>
  <si>
    <t>Admin Assistant</t>
  </si>
  <si>
    <t>James Charles Wilson</t>
  </si>
  <si>
    <t>EMP007</t>
  </si>
  <si>
    <t>987 Spruce St, Dallas, TX 75201</t>
  </si>
  <si>
    <t>EXC-10-2022</t>
  </si>
  <si>
    <t>09/03/2020</t>
  </si>
  <si>
    <t>+1-214-555-1415 x601F</t>
  </si>
  <si>
    <t>OFC-106-TX-07-06</t>
  </si>
  <si>
    <t>linda.martinez@dfw.company.com</t>
  </si>
  <si>
    <t>Regional Sales Manager</t>
  </si>
  <si>
    <t>Linda Rose Martinez</t>
  </si>
  <si>
    <t>EMP006</t>
  </si>
  <si>
    <t>654 Cedar Rd, Atlanta, GA 30303</t>
  </si>
  <si>
    <t>SAT-7-2021</t>
  </si>
  <si>
    <t>05/19/2018</t>
  </si>
  <si>
    <t>+1-404-555-1213 x501E</t>
  </si>
  <si>
    <t>OFC-105-GA-15-05</t>
  </si>
  <si>
    <t>david.brown@atl.company.com</t>
  </si>
  <si>
    <t>Operations</t>
  </si>
  <si>
    <t>Operations Coordinator</t>
  </si>
  <si>
    <t>David Edward Brown</t>
  </si>
  <si>
    <t>EMP005</t>
  </si>
  <si>
    <t>321 Oak Ln, Los Angeles, CA 90012</t>
  </si>
  <si>
    <t>EXC-10-2019</t>
  </si>
  <si>
    <t>07/08/2014</t>
  </si>
  <si>
    <t>+1-310-555-0912 x401D</t>
  </si>
  <si>
    <t>OFC-104-CA-18-04</t>
  </si>
  <si>
    <t>sarah.williams@lax.company.com</t>
  </si>
  <si>
    <t>Finance Officer</t>
  </si>
  <si>
    <t>Sarah Anne Williams</t>
  </si>
  <si>
    <t>EMP004</t>
  </si>
  <si>
    <t>789 Maple Blvd, Houston, TX 77001</t>
  </si>
  <si>
    <t>UNS-6-2020</t>
  </si>
  <si>
    <t>11/12/2017</t>
  </si>
  <si>
    <t>+1-832-555-0789 x301C</t>
  </si>
  <si>
    <t>OFC-103-TX-09-03</t>
  </si>
  <si>
    <t>michael.johnson@hou.company.com</t>
  </si>
  <si>
    <t>IT Support Analyst</t>
  </si>
  <si>
    <t>Michael Johnson</t>
  </si>
  <si>
    <t>EMP003</t>
  </si>
  <si>
    <t>456 Pine Ave, San Francisco, CA 94103</t>
  </si>
  <si>
    <t>03/22/2016</t>
  </si>
  <si>
    <t>+1-415-555-0456 x201B</t>
  </si>
  <si>
    <t>OFC-102-CA-12-02</t>
  </si>
  <si>
    <t>emily.davis@sfo.company.com</t>
  </si>
  <si>
    <t>Marketing Specialist</t>
  </si>
  <si>
    <t>Emily Jane Davis</t>
  </si>
  <si>
    <t>EMP002</t>
  </si>
  <si>
    <t>123 Elm St, New York, NY 10001</t>
  </si>
  <si>
    <t>01/15/2015</t>
  </si>
  <si>
    <t>+1-202-555-0123 x101A</t>
  </si>
  <si>
    <t>OFC-101-NY-23-01</t>
  </si>
  <si>
    <t>john.smith@nyc.company.com</t>
  </si>
  <si>
    <t>Human Resources</t>
  </si>
  <si>
    <t>Senior HR Manager</t>
  </si>
  <si>
    <t>John Alexander Smith</t>
  </si>
  <si>
    <t>EMP001</t>
  </si>
  <si>
    <t>Address</t>
  </si>
  <si>
    <t>Performance Code</t>
  </si>
  <si>
    <t>Salary (USD)</t>
  </si>
  <si>
    <t>Hire Date</t>
  </si>
  <si>
    <t>Phone Number</t>
  </si>
  <si>
    <t>Office Code</t>
  </si>
  <si>
    <t>Email</t>
  </si>
  <si>
    <t>Job Title</t>
  </si>
  <si>
    <t>Full Name</t>
  </si>
  <si>
    <t>Employee ID</t>
  </si>
  <si>
    <t>Otherwise, return "Needs Improvement."</t>
  </si>
  <si>
    <t>If only "Attendance (%)" &gt;= 95%, return "Excellent Attendance."</t>
  </si>
  <si>
    <t>If only "Monthly Sales" &gt;= "Target," return "Good Sales."</t>
  </si>
  <si>
    <t>If "Monthly Sales" &gt;= "Target" and "Attendance (%)" &gt;= 95%, return "Outstanding Performance."</t>
  </si>
  <si>
    <t>Provide feedback for each employee based on their performance:</t>
  </si>
  <si>
    <t>5. Custom Feedback</t>
  </si>
  <si>
    <t>Below 80%: "D"</t>
  </si>
  <si>
    <t>80%-89%: "C"</t>
  </si>
  <si>
    <t>90%-94%: "B"</t>
  </si>
  <si>
    <t>95% or higher: "A"</t>
  </si>
  <si>
    <t>Assign a grade based on "Attendance (%)":</t>
  </si>
  <si>
    <t>4. Attendance Grade</t>
  </si>
  <si>
    <t>Use a nested IF formula.</t>
  </si>
  <si>
    <t>Otherwise, return "No Bonus."</t>
  </si>
  <si>
    <t>If their "Monthly Sales" are &gt;= 4000 but &lt; 5000, return "Medium Bonus."</t>
  </si>
  <si>
    <t>If their "Monthly Sales" are &gt;= 5000, return "High Bonus."</t>
  </si>
  <si>
    <t>For employees in the Sales department:</t>
  </si>
  <si>
    <t>3. Department Bonus</t>
  </si>
  <si>
    <t>Create a formula to determine if an employee is "Eligible" or "Not Eligible" for a bonus.</t>
  </si>
  <si>
    <t>Employees are eligible for a bonus if they meet their sales target and their attendance is 90% or higher.</t>
  </si>
  <si>
    <t>2. Bonus Eligibility</t>
  </si>
  <si>
    <t>If "Monthly Sales" &gt;= "Target," return "Met Target." Otherwise, return "Below Target."</t>
  </si>
  <si>
    <t>Create a formula to evaluate employee performance.</t>
  </si>
  <si>
    <t>1. Performance Evaluation</t>
  </si>
  <si>
    <t>Questions:</t>
  </si>
  <si>
    <t>Olivia White</t>
  </si>
  <si>
    <t>E006</t>
  </si>
  <si>
    <t>Liam Johnson</t>
  </si>
  <si>
    <t>E005</t>
  </si>
  <si>
    <t>Emma Davis</t>
  </si>
  <si>
    <t>E004</t>
  </si>
  <si>
    <t>David Wilson</t>
  </si>
  <si>
    <t>E003</t>
  </si>
  <si>
    <t>Alice Brown</t>
  </si>
  <si>
    <t>E002</t>
  </si>
  <si>
    <t>John Smith</t>
  </si>
  <si>
    <t>E001</t>
  </si>
  <si>
    <t>Attendance (%)</t>
  </si>
  <si>
    <t>Target ($)</t>
  </si>
  <si>
    <t>Monthly Sales ($)</t>
  </si>
  <si>
    <t>Thane</t>
  </si>
  <si>
    <t>Literature</t>
  </si>
  <si>
    <t>Education</t>
  </si>
  <si>
    <t>Pathfinders Institute</t>
  </si>
  <si>
    <t>2006489974, 2007389365, 2006485000</t>
  </si>
  <si>
    <t>Bengaluru</t>
  </si>
  <si>
    <t>Physics</t>
  </si>
  <si>
    <t>Excel Global Academy</t>
  </si>
  <si>
    <t>2008113940, 2008039738, 2008114567</t>
  </si>
  <si>
    <t>Visakhapatnam</t>
  </si>
  <si>
    <t>Chemistry</t>
  </si>
  <si>
    <t>Rising Star Academy</t>
  </si>
  <si>
    <t>2006489994, 2007126272, 2006488000</t>
  </si>
  <si>
    <t>Varanasi</t>
  </si>
  <si>
    <t>Mathematics</t>
  </si>
  <si>
    <t>Dynamic Learning School</t>
  </si>
  <si>
    <t>2007304368, 2007304472, 2007309999</t>
  </si>
  <si>
    <t>Lucknow</t>
  </si>
  <si>
    <t>Civil Services</t>
  </si>
  <si>
    <t>Progressive Tutorials</t>
  </si>
  <si>
    <t>2008289348, 2008392433, 2008287777</t>
  </si>
  <si>
    <t>Coimbatore</t>
  </si>
  <si>
    <t>Digital Marketing</t>
  </si>
  <si>
    <t>Infinity Learning Center</t>
  </si>
  <si>
    <t>2007368290, 206384604, 2007209977</t>
  </si>
  <si>
    <t>Chandigarh</t>
  </si>
  <si>
    <t>Biotechnology</t>
  </si>
  <si>
    <t>Visionaries Academy</t>
  </si>
  <si>
    <t>2008039685, 2007126280, 2008033456, 2008039999</t>
  </si>
  <si>
    <t>Ahmedabad</t>
  </si>
  <si>
    <t>Data Science</t>
  </si>
  <si>
    <t>Success Path Institute</t>
  </si>
  <si>
    <t>2007400975, 2008200000, 2007406666</t>
  </si>
  <si>
    <t>Patna</t>
  </si>
  <si>
    <t>Architecture</t>
  </si>
  <si>
    <t>Scholars Hub</t>
  </si>
  <si>
    <t>2007304396, 2007400912, 2007308888</t>
  </si>
  <si>
    <t>Jaipur</t>
  </si>
  <si>
    <t>Management</t>
  </si>
  <si>
    <t>Leadership Academy</t>
  </si>
  <si>
    <t>2008113875, 2007304361, 2008111234, 2008115678</t>
  </si>
  <si>
    <t>Kolkata</t>
  </si>
  <si>
    <t>Psychology</t>
  </si>
  <si>
    <t>Wisdom International</t>
  </si>
  <si>
    <t>2007401031, 2008361517, 2007405555</t>
  </si>
  <si>
    <t>Pune</t>
  </si>
  <si>
    <t>Law</t>
  </si>
  <si>
    <t>Knowledge Tree College</t>
  </si>
  <si>
    <t>2008403665, 2009040703, 2008409999</t>
  </si>
  <si>
    <t>Delhi</t>
  </si>
  <si>
    <t>Business Studies</t>
  </si>
  <si>
    <t>Bright Minds Institute</t>
  </si>
  <si>
    <t>2007389435, 2008100000, 2007384000</t>
  </si>
  <si>
    <t>Information Technology</t>
  </si>
  <si>
    <t>FutureTech University</t>
  </si>
  <si>
    <t>2008465261, 2008465430, 2008468000</t>
  </si>
  <si>
    <t>Hyderabad</t>
  </si>
  <si>
    <t>Medical Sciences</t>
  </si>
  <si>
    <t>Brilliant Tutorials</t>
  </si>
  <si>
    <t>2008227601, 2008039774, 2008227592</t>
  </si>
  <si>
    <t>Chennai</t>
  </si>
  <si>
    <t>Arts &amp; Humanities</t>
  </si>
  <si>
    <t>Green Valley College</t>
  </si>
  <si>
    <t>2008361601, 2008361525, 2008367890</t>
  </si>
  <si>
    <t>Mumbai</t>
  </si>
  <si>
    <t>Engineering</t>
  </si>
  <si>
    <t>Sunshine Academy</t>
  </si>
  <si>
    <t>2001112999, 2008403628, 2001234567</t>
  </si>
  <si>
    <t>Bihar</t>
  </si>
  <si>
    <t>Telecom</t>
  </si>
  <si>
    <t>Airtel</t>
  </si>
  <si>
    <t>1106489974, 1107389365</t>
  </si>
  <si>
    <t>UP-West</t>
  </si>
  <si>
    <t>1108113940, 1108039738</t>
  </si>
  <si>
    <t>Merrut</t>
  </si>
  <si>
    <t>UP-East</t>
  </si>
  <si>
    <t>1106489994, 1107126272</t>
  </si>
  <si>
    <t>Vikas Puri</t>
  </si>
  <si>
    <t>Idea</t>
  </si>
  <si>
    <t>1107304368, 1107304392, 1107304472</t>
  </si>
  <si>
    <t>1108289348, 1108392433</t>
  </si>
  <si>
    <t>Asansol</t>
  </si>
  <si>
    <t>West Bengal</t>
  </si>
  <si>
    <t>Vodafone</t>
  </si>
  <si>
    <t>1107368290, 106384604, 1107209977</t>
  </si>
  <si>
    <t>1108039685, 1107126280, 1108114052</t>
  </si>
  <si>
    <t>Bhubneshwar</t>
  </si>
  <si>
    <t>Orissa</t>
  </si>
  <si>
    <t>1107400975, 1108200000</t>
  </si>
  <si>
    <t>1107304396, 1107400912</t>
  </si>
  <si>
    <t>Tata</t>
  </si>
  <si>
    <t>1108113875, 1107304361</t>
  </si>
  <si>
    <t>UPWest</t>
  </si>
  <si>
    <t>Orrja</t>
  </si>
  <si>
    <t>1107401031, 1108361517</t>
  </si>
  <si>
    <t>Bangalore</t>
  </si>
  <si>
    <t>Karnataka</t>
  </si>
  <si>
    <t>Reliance</t>
  </si>
  <si>
    <t>1108403665, 1109040703</t>
  </si>
  <si>
    <t>1107389435, 1108100000</t>
  </si>
  <si>
    <t>AP</t>
  </si>
  <si>
    <t>1108465261, 1108465430</t>
  </si>
  <si>
    <t>1108227601, 1108039774, 1108227592</t>
  </si>
  <si>
    <t>Aircel</t>
  </si>
  <si>
    <t>1108361601, 1108361525</t>
  </si>
  <si>
    <t>Guwahati</t>
  </si>
  <si>
    <t>Assam</t>
  </si>
  <si>
    <t>1108113999, 1108403628</t>
  </si>
  <si>
    <t>City/Location</t>
  </si>
  <si>
    <t>Specialization/Circle</t>
  </si>
  <si>
    <t>Serial No</t>
  </si>
  <si>
    <t>Find these details:</t>
  </si>
  <si>
    <t>Find the total salary of all employees working in Building D. Use a combination of VLOOKUP and SUMIF.</t>
  </si>
  <si>
    <t>8. Combined Query</t>
  </si>
  <si>
    <t>Validate if "John Smith" works in Building A. Use double VLOOKUP to verify this from both the Employee Master List and Department tables.</t>
  </si>
  <si>
    <t>7. Cross-validation</t>
  </si>
  <si>
    <t>Use a triple VLOOKUP to fetch the increment percentage for "Michael Johnson" and calculate his total salary increment in dollars.</t>
  </si>
  <si>
    <t>6. Performance Challenge</t>
  </si>
  <si>
    <t>Create a formula that calculates the total base salary of all employees in the IT department.</t>
  </si>
  <si>
    <t>5. Department-wise Summary</t>
  </si>
  <si>
    <t>Modify your lookup formula to handle cases where the Employee ID doesn’t exist in the Employee Master List.</t>
  </si>
  <si>
    <t>4. Error Handling</t>
  </si>
  <si>
    <t>Write a formula that dynamically returns the salary of any employee when their Employee ID is entered.</t>
  </si>
  <si>
    <t>3. Dynamic Lookup</t>
  </si>
  <si>
    <t>Calculate the final salary for "Robert Brown" by combining data from Table 1 (designation), Table 3 (base salary and increment), and Table 1 again (employee name).</t>
  </si>
  <si>
    <t>2. Triple VLOOKUP</t>
  </si>
  <si>
    <t>Find the location of "Emily Davis" by using her department information from Table 1 and the location from Table 2.</t>
  </si>
  <si>
    <t>1. Double VLOOKUP</t>
  </si>
  <si>
    <t>Architect</t>
  </si>
  <si>
    <t>Executive</t>
  </si>
  <si>
    <t>Analyst</t>
  </si>
  <si>
    <t>Developer</t>
  </si>
  <si>
    <t>Manager</t>
  </si>
  <si>
    <t>Increment (%)</t>
  </si>
  <si>
    <t>Base Salary ($)</t>
  </si>
  <si>
    <t>Designation</t>
  </si>
  <si>
    <t>Table 3: Salary Matrix</t>
  </si>
  <si>
    <t>Building D</t>
  </si>
  <si>
    <t>Building C</t>
  </si>
  <si>
    <t>Building B</t>
  </si>
  <si>
    <t>Building A</t>
  </si>
  <si>
    <t>Location</t>
  </si>
  <si>
    <t>Table 2: Department and Location</t>
  </si>
  <si>
    <t>Robert Brown</t>
  </si>
  <si>
    <t>Jane Doe</t>
  </si>
  <si>
    <t>Table 1: Employee Master List</t>
  </si>
  <si>
    <t>Tables:</t>
  </si>
  <si>
    <t>You are working in the HR department of a company. You have multiple data tables containing information about employees, their departments, roles, and salaries. Your task is to answer the following questions:</t>
  </si>
  <si>
    <t>Scenario: Employee Data Management</t>
  </si>
  <si>
    <t>A1=25</t>
  </si>
  <si>
    <t>A1=47</t>
  </si>
  <si>
    <t>A1=40</t>
  </si>
  <si>
    <t>A1=57</t>
  </si>
  <si>
    <t>A1=90</t>
  </si>
  <si>
    <t>d) A reference error</t>
  </si>
  <si>
    <t>c) A syntax error</t>
  </si>
  <si>
    <t>b) An intersection of ranges</t>
  </si>
  <si>
    <t>a) A valid formula</t>
  </si>
  <si>
    <t>d) Returns an error</t>
  </si>
  <si>
    <t>c) Multiplies the two ranges</t>
  </si>
  <si>
    <t>b) Creates a union of two ranges</t>
  </si>
  <si>
    <t>a) Adds A1 to A3 and B1 to B3</t>
  </si>
  <si>
    <t>d) Ctrl + Alt + I</t>
  </si>
  <si>
    <t>c) Ctrl + W</t>
  </si>
  <si>
    <t>b) Alt + H + O + I</t>
  </si>
  <si>
    <t>a) Ctrl + Shift + A</t>
  </si>
  <si>
    <r>
      <t xml:space="preserve">Q6- What is the shortcut to </t>
    </r>
    <r>
      <rPr>
        <b/>
        <sz val="11"/>
        <color theme="1"/>
        <rFont val="Aptos Narrow"/>
        <family val="2"/>
        <scheme val="minor"/>
      </rPr>
      <t>autofit column width</t>
    </r>
    <r>
      <rPr>
        <sz val="11"/>
        <color theme="1"/>
        <rFont val="Aptos Narrow"/>
        <family val="2"/>
        <scheme val="minor"/>
      </rPr>
      <t>?</t>
    </r>
  </si>
  <si>
    <t>d) Ctrl + Shift + 0</t>
  </si>
  <si>
    <t>c) Ctrl + Shift + 9</t>
  </si>
  <si>
    <t>b) Ctrl + 0</t>
  </si>
  <si>
    <t>a) Ctrl + H</t>
  </si>
  <si>
    <r>
      <t xml:space="preserve">Q5- What is the shortcut to hide a </t>
    </r>
    <r>
      <rPr>
        <b/>
        <sz val="11"/>
        <color theme="1"/>
        <rFont val="Aptos Narrow"/>
        <family val="2"/>
        <scheme val="minor"/>
      </rPr>
      <t>column</t>
    </r>
    <r>
      <rPr>
        <sz val="11"/>
        <color theme="1"/>
        <rFont val="Aptos Narrow"/>
        <family val="2"/>
        <scheme val="minor"/>
      </rPr>
      <t>?</t>
    </r>
  </si>
  <si>
    <t>d) Alt + F4</t>
  </si>
  <si>
    <t>c) Shift + A</t>
  </si>
  <si>
    <t>b) F4</t>
  </si>
  <si>
    <t>a) Ctrl + A</t>
  </si>
  <si>
    <r>
      <t xml:space="preserve">Q4- What shortcut converts a reference to </t>
    </r>
    <r>
      <rPr>
        <b/>
        <sz val="11"/>
        <color theme="1"/>
        <rFont val="Aptos Narrow"/>
        <family val="2"/>
        <scheme val="minor"/>
      </rPr>
      <t>absolute ($A$1) or relative (A1)</t>
    </r>
    <r>
      <rPr>
        <sz val="11"/>
        <color theme="1"/>
        <rFont val="Aptos Narrow"/>
        <family val="2"/>
        <scheme val="minor"/>
      </rPr>
      <t>?</t>
    </r>
  </si>
  <si>
    <t>Q3- Fix the E11 column and add F11,F12,F13,F14 row with E11 by just dragging</t>
  </si>
  <si>
    <t>Q2- Drag or copy  the formula of A11 in A12 and mention the changes that you see?</t>
  </si>
  <si>
    <t>5. convert general to time</t>
  </si>
  <si>
    <t>4. convert decimal to percentage</t>
  </si>
  <si>
    <t>3. convert short date into long date</t>
  </si>
  <si>
    <t>2. convert general into number</t>
  </si>
  <si>
    <t>1. convert general into currency</t>
  </si>
  <si>
    <t>Q1: Change the datatypes of the following .</t>
  </si>
  <si>
    <t xml:space="preserve">Assignment </t>
  </si>
  <si>
    <t>Binder</t>
  </si>
  <si>
    <t>Andrews</t>
  </si>
  <si>
    <t>Central</t>
  </si>
  <si>
    <t>Jardine</t>
  </si>
  <si>
    <t>Pencil</t>
  </si>
  <si>
    <t>Thompson</t>
  </si>
  <si>
    <t>West</t>
  </si>
  <si>
    <t>Pen</t>
  </si>
  <si>
    <t>Sorvino</t>
  </si>
  <si>
    <t>Gill</t>
  </si>
  <si>
    <t>Desk</t>
  </si>
  <si>
    <t>Pen Set</t>
  </si>
  <si>
    <t>Kivell</t>
  </si>
  <si>
    <t>Morgan</t>
  </si>
  <si>
    <t>Jones</t>
  </si>
  <si>
    <t>East</t>
  </si>
  <si>
    <t>Howard</t>
  </si>
  <si>
    <t>Smith</t>
  </si>
  <si>
    <t>Parent</t>
  </si>
  <si>
    <t>Using data bars highlight highest to lowest cost with Conditional formatting</t>
  </si>
  <si>
    <t>Q3</t>
  </si>
  <si>
    <t>highlight cell values between 61 and 87 using data bar function</t>
  </si>
  <si>
    <t>Q2</t>
  </si>
  <si>
    <t>Highlight cells that contain Binder using highlight cell rules</t>
  </si>
  <si>
    <t>Q1</t>
  </si>
  <si>
    <t>Total</t>
  </si>
  <si>
    <t>Unit Cost</t>
  </si>
  <si>
    <t>Units</t>
  </si>
  <si>
    <t>Item</t>
  </si>
  <si>
    <t>Rep</t>
  </si>
  <si>
    <t>Region</t>
  </si>
  <si>
    <t>Conditional formatting</t>
  </si>
  <si>
    <t>Creat a Hyperlink in cell "A28" to show total sales for Toyota car in cell "B20"</t>
  </si>
  <si>
    <t>Rita</t>
  </si>
  <si>
    <t>Sakshi</t>
  </si>
  <si>
    <t>Shubh</t>
  </si>
  <si>
    <t>Aditya</t>
  </si>
  <si>
    <t>Percentage</t>
  </si>
  <si>
    <t>Hyundai</t>
  </si>
  <si>
    <t>Honda</t>
  </si>
  <si>
    <t>Toyota</t>
  </si>
  <si>
    <t>Calculate sum total for Toyota and Hyundai sales using Name Manager</t>
  </si>
  <si>
    <t>Banana</t>
  </si>
  <si>
    <t>Hello</t>
  </si>
  <si>
    <t>Apple</t>
  </si>
  <si>
    <t>Text</t>
  </si>
  <si>
    <t xml:space="preserve">COUNTBLANK </t>
  </si>
  <si>
    <t>COUNTALL</t>
  </si>
  <si>
    <t xml:space="preserve">COUNT </t>
  </si>
  <si>
    <t>Using below mentioned function name calculate outcomes as per column header</t>
  </si>
  <si>
    <t>Porsche</t>
  </si>
  <si>
    <t>Florida</t>
  </si>
  <si>
    <t>Jack</t>
  </si>
  <si>
    <t>Mini</t>
  </si>
  <si>
    <t>Arkansas</t>
  </si>
  <si>
    <t>Mercedes</t>
  </si>
  <si>
    <t>Delaware</t>
  </si>
  <si>
    <t>Sean</t>
  </si>
  <si>
    <t>Audi</t>
  </si>
  <si>
    <t>Washington</t>
  </si>
  <si>
    <t>Tina</t>
  </si>
  <si>
    <t>Harry</t>
  </si>
  <si>
    <t>VW</t>
  </si>
  <si>
    <t>Oregon</t>
  </si>
  <si>
    <t>Sammy</t>
  </si>
  <si>
    <t>Seat</t>
  </si>
  <si>
    <t>North Carolina</t>
  </si>
  <si>
    <t>Tim</t>
  </si>
  <si>
    <t>Lexus</t>
  </si>
  <si>
    <t>California</t>
  </si>
  <si>
    <t>Thomas</t>
  </si>
  <si>
    <t>Ford</t>
  </si>
  <si>
    <t>Georgia</t>
  </si>
  <si>
    <t>Tom</t>
  </si>
  <si>
    <t>BMW</t>
  </si>
  <si>
    <t>Sarah</t>
  </si>
  <si>
    <t>Dodge</t>
  </si>
  <si>
    <t>Texas</t>
  </si>
  <si>
    <t>William</t>
  </si>
  <si>
    <t>Arizona</t>
  </si>
  <si>
    <t>Car Model</t>
  </si>
  <si>
    <t>State</t>
  </si>
  <si>
    <t xml:space="preserve"> remove duplicates only for rows where the name and the car model are the same!</t>
  </si>
  <si>
    <t>Question 3</t>
  </si>
  <si>
    <t>Sharon~22~Pink</t>
  </si>
  <si>
    <t>Sammy~28~Black</t>
  </si>
  <si>
    <t>Tom~33~Blue</t>
  </si>
  <si>
    <t>Gil~27~Red</t>
  </si>
  <si>
    <t>Dan~33~Yellow</t>
  </si>
  <si>
    <t>Name~Age~Favorite Color</t>
  </si>
  <si>
    <t xml:space="preserve"> Split the following column to columns:</t>
  </si>
  <si>
    <t>Question 2</t>
  </si>
  <si>
    <t>Jul</t>
  </si>
  <si>
    <t>Jun</t>
  </si>
  <si>
    <t>May</t>
  </si>
  <si>
    <t>Apr</t>
  </si>
  <si>
    <t>Mar</t>
  </si>
  <si>
    <t>Bonuses:</t>
  </si>
  <si>
    <t>Feb</t>
  </si>
  <si>
    <t>Last N months:</t>
  </si>
  <si>
    <t>Jan</t>
  </si>
  <si>
    <t>SUM/COUNTA formula</t>
  </si>
  <si>
    <t>SUM/COUNT formula</t>
  </si>
  <si>
    <t>Bonus</t>
  </si>
  <si>
    <t>Month</t>
  </si>
  <si>
    <t>Question 1</t>
  </si>
  <si>
    <t>Existing</t>
  </si>
  <si>
    <t>New Accts</t>
  </si>
  <si>
    <t>Savings</t>
  </si>
  <si>
    <t>Thursday</t>
  </si>
  <si>
    <t>Westside</t>
  </si>
  <si>
    <t>Checking</t>
  </si>
  <si>
    <t>Wednesday</t>
  </si>
  <si>
    <t>Tuesday</t>
  </si>
  <si>
    <t>North County</t>
  </si>
  <si>
    <t>Teller</t>
  </si>
  <si>
    <t>Monday</t>
  </si>
  <si>
    <t>CD</t>
  </si>
  <si>
    <t>Sunday</t>
  </si>
  <si>
    <t>Saturday</t>
  </si>
  <si>
    <t>Friday</t>
  </si>
  <si>
    <t>New</t>
  </si>
  <si>
    <t>IRA</t>
  </si>
  <si>
    <t>Customer</t>
  </si>
  <si>
    <t>Branch</t>
  </si>
  <si>
    <t>OpenedBy</t>
  </si>
  <si>
    <t>Acct_Type</t>
  </si>
  <si>
    <t xml:space="preserve"> Amount </t>
  </si>
  <si>
    <t>Weekday</t>
  </si>
  <si>
    <t>Date</t>
  </si>
  <si>
    <t>Add a Slicer to your given data that allows you to filter your Branch .</t>
  </si>
  <si>
    <t>Using Slicer from Excel PivotTable Fields</t>
  </si>
  <si>
    <t>Question 6</t>
  </si>
  <si>
    <t>Pending</t>
  </si>
  <si>
    <t>ESAB</t>
  </si>
  <si>
    <t>Senior Engineer</t>
  </si>
  <si>
    <t>Theresa Gonzalez</t>
  </si>
  <si>
    <t>Complete</t>
  </si>
  <si>
    <t>Engineer</t>
  </si>
  <si>
    <t>Patricia Brooks</t>
  </si>
  <si>
    <t>TAMS</t>
  </si>
  <si>
    <t>Jose Taylor</t>
  </si>
  <si>
    <t>Specialist</t>
  </si>
  <si>
    <t>Joan Coleman</t>
  </si>
  <si>
    <t>Jimmy Alexander</t>
  </si>
  <si>
    <t>Jesse Henderson</t>
  </si>
  <si>
    <t>Cheryl Smith</t>
  </si>
  <si>
    <t>Carol Roberts</t>
  </si>
  <si>
    <t>Carlos Gonzales</t>
  </si>
  <si>
    <t>Kevin Reed</t>
  </si>
  <si>
    <t>Barbara Martin</t>
  </si>
  <si>
    <t>Appraisal Status</t>
  </si>
  <si>
    <t>Employee</t>
  </si>
  <si>
    <t>Project</t>
  </si>
  <si>
    <t>Find the origin of error</t>
  </si>
  <si>
    <t>Question 5</t>
  </si>
  <si>
    <t>Quantity</t>
  </si>
  <si>
    <t>Find the error?</t>
  </si>
  <si>
    <t>Question 4</t>
  </si>
  <si>
    <t>Birthday Date</t>
  </si>
  <si>
    <t>Upcoming Birthday</t>
  </si>
  <si>
    <t>Today's Date</t>
  </si>
  <si>
    <t>Helena</t>
  </si>
  <si>
    <t>Samuelson</t>
  </si>
  <si>
    <t>Hawkings</t>
  </si>
  <si>
    <t>Venus</t>
  </si>
  <si>
    <t xml:space="preserve"> Additionally, the current date is shown. Combine the functions to create two formulas to return the name and date of an upcoming birthday.</t>
  </si>
  <si>
    <t>Robbins</t>
  </si>
  <si>
    <t>Find Upcoming Event: Five people’s names and birthdays are given.</t>
  </si>
  <si>
    <t>Birthday Of</t>
  </si>
  <si>
    <t xml:space="preserve"> Find Upcoming Event:</t>
  </si>
  <si>
    <t>Question 8</t>
  </si>
  <si>
    <t>Claire Brooks</t>
  </si>
  <si>
    <t>EMEA</t>
  </si>
  <si>
    <t>UK</t>
  </si>
  <si>
    <t>London</t>
  </si>
  <si>
    <t>Richard Manning</t>
  </si>
  <si>
    <t>APAC</t>
  </si>
  <si>
    <t>Australia</t>
  </si>
  <si>
    <t>Sydney</t>
  </si>
  <si>
    <t>Ian Baker</t>
  </si>
  <si>
    <t>Malaysia</t>
  </si>
  <si>
    <t>Kuala Lumpur</t>
  </si>
  <si>
    <t>Roy Nunes</t>
  </si>
  <si>
    <t>Iron</t>
  </si>
  <si>
    <t>Spain</t>
  </si>
  <si>
    <t>Madria</t>
  </si>
  <si>
    <t>Robert Harris</t>
  </si>
  <si>
    <t>Ireland</t>
  </si>
  <si>
    <t>Dublin</t>
  </si>
  <si>
    <t>Valerie Hook</t>
  </si>
  <si>
    <t>George Sherwin</t>
  </si>
  <si>
    <t>Ceiling fan</t>
  </si>
  <si>
    <t>Turkey</t>
  </si>
  <si>
    <t>Istanbul</t>
  </si>
  <si>
    <t>David Isaacs</t>
  </si>
  <si>
    <t>Israel</t>
  </si>
  <si>
    <t>Tel Aviv</t>
  </si>
  <si>
    <t>Victoria Sherwin</t>
  </si>
  <si>
    <t>Saudi Arabia</t>
  </si>
  <si>
    <t>Riyadh</t>
  </si>
  <si>
    <t>Susan Luker</t>
  </si>
  <si>
    <t>Christine Davies</t>
  </si>
  <si>
    <t>Noel Bull</t>
  </si>
  <si>
    <t>Coffee grinder</t>
  </si>
  <si>
    <t>South Africa</t>
  </si>
  <si>
    <t>Capetown</t>
  </si>
  <si>
    <t>Discount %</t>
  </si>
  <si>
    <t>Actual Price</t>
  </si>
  <si>
    <t>List Price</t>
  </si>
  <si>
    <t>Country</t>
  </si>
  <si>
    <t>Store</t>
  </si>
  <si>
    <t xml:space="preserve">You found out that your Financial Controller, whom you fired last week for falling asleep during work hours, has ommitted the following transactions from APAC and EMEA from your books. Add them to the bottom of your data, and make sure that the last Pivot Table includes these rows! </t>
  </si>
  <si>
    <t>Question 7</t>
  </si>
  <si>
    <t>Brad</t>
  </si>
  <si>
    <t>Pitt</t>
  </si>
  <si>
    <t>Prince</t>
  </si>
  <si>
    <t>Williams</t>
  </si>
  <si>
    <t>Tony</t>
  </si>
  <si>
    <t>Stark</t>
  </si>
  <si>
    <t>Micheal</t>
  </si>
  <si>
    <t>Jordan</t>
  </si>
  <si>
    <t>Tiger</t>
  </si>
  <si>
    <t>Woods</t>
  </si>
  <si>
    <t>Vick</t>
  </si>
  <si>
    <t>Eli</t>
  </si>
  <si>
    <t>Manning</t>
  </si>
  <si>
    <t>John</t>
  </si>
  <si>
    <t>Elway</t>
  </si>
  <si>
    <t>Bret</t>
  </si>
  <si>
    <t>Favre</t>
  </si>
  <si>
    <t>Peter</t>
  </si>
  <si>
    <t>Pan</t>
  </si>
  <si>
    <t>Andy</t>
  </si>
  <si>
    <t>Cline</t>
  </si>
  <si>
    <t>Doe</t>
  </si>
  <si>
    <t>Last Name</t>
  </si>
  <si>
    <t>First Name</t>
  </si>
  <si>
    <t>Pay</t>
  </si>
  <si>
    <t>Pay Report</t>
  </si>
  <si>
    <t>Raw Data Extract</t>
  </si>
  <si>
    <t>Use VLOOKUP formulas to bring in the first and last names of employees in the Raw Data Extract section</t>
  </si>
  <si>
    <t>Question 11</t>
  </si>
  <si>
    <t>KB8522</t>
  </si>
  <si>
    <t>Keyboard</t>
  </si>
  <si>
    <t>TB2031</t>
  </si>
  <si>
    <t>LP1420</t>
  </si>
  <si>
    <t>Cost</t>
  </si>
  <si>
    <t>Price</t>
  </si>
  <si>
    <t>SKU</t>
  </si>
  <si>
    <t>TV024788</t>
  </si>
  <si>
    <t>Stock List</t>
  </si>
  <si>
    <t>solve the following using lookup</t>
  </si>
  <si>
    <t>Question 10</t>
  </si>
  <si>
    <t>Student</t>
  </si>
  <si>
    <t>Richards</t>
  </si>
  <si>
    <t>Find the student who got 100 in both the subjects. You need to use a helper column to do this.</t>
  </si>
  <si>
    <t xml:space="preserve">Combined Score </t>
  </si>
  <si>
    <t>Multiple Criteria Without Array Formula:</t>
  </si>
  <si>
    <t>Question 9</t>
  </si>
  <si>
    <t>CC-02</t>
  </si>
  <si>
    <t>C-01</t>
  </si>
  <si>
    <t>BBC-04</t>
  </si>
  <si>
    <t>BB-002</t>
  </si>
  <si>
    <t>B-01</t>
  </si>
  <si>
    <t>AAB-01</t>
  </si>
  <si>
    <t>AB-02</t>
  </si>
  <si>
    <t>A-01</t>
  </si>
  <si>
    <t>BBC</t>
  </si>
  <si>
    <t>04-AA</t>
  </si>
  <si>
    <t>BB-</t>
  </si>
  <si>
    <t>02-BB</t>
  </si>
  <si>
    <t>A-</t>
  </si>
  <si>
    <t>01-A</t>
  </si>
  <si>
    <t>Item ID</t>
  </si>
  <si>
    <t>Fill the following table column</t>
  </si>
  <si>
    <t>Question 12</t>
  </si>
  <si>
    <t>Description</t>
  </si>
  <si>
    <t>Formula Used</t>
  </si>
  <si>
    <t>Correct Formula</t>
  </si>
  <si>
    <t>Division Error</t>
  </si>
  <si>
    <t>Name Error</t>
  </si>
  <si>
    <t>Ref Error</t>
  </si>
  <si>
    <t>Value Error</t>
  </si>
  <si>
    <t>Num Error</t>
  </si>
  <si>
    <t>Logic Error</t>
  </si>
  <si>
    <r>
      <t xml:space="preserve">In column D, </t>
    </r>
    <r>
      <rPr>
        <b/>
        <sz val="11"/>
        <color theme="1"/>
        <rFont val="Aptos Narrow"/>
        <family val="2"/>
        <scheme val="minor"/>
      </rPr>
      <t>write the corrected version of each formula</t>
    </r>
  </si>
  <si>
    <r>
      <t>1.</t>
    </r>
    <r>
      <rPr>
        <sz val="10"/>
        <color rgb="FF404040"/>
        <rFont val="Segoe UI"/>
        <family val="2"/>
      </rPr>
      <t xml:space="preserve"> Check if Year is blank.</t>
    </r>
  </si>
  <si>
    <r>
      <t xml:space="preserve">2. </t>
    </r>
    <r>
      <rPr>
        <sz val="10"/>
        <color rgb="FF404040"/>
        <rFont val="Segoe UI"/>
        <family val="2"/>
      </rPr>
      <t>Check if Minutes is a number.</t>
    </r>
  </si>
  <si>
    <r>
      <t xml:space="preserve">3. </t>
    </r>
    <r>
      <rPr>
        <sz val="10"/>
        <color rgb="FF404040"/>
        <rFont val="Segoe UI"/>
        <family val="2"/>
      </rPr>
      <t>Check if Movie Title is text.</t>
    </r>
  </si>
  <si>
    <r>
      <t xml:space="preserve">4. </t>
    </r>
    <r>
      <rPr>
        <sz val="10"/>
        <color rgb="FF404040"/>
        <rFont val="Segoe UI"/>
        <family val="2"/>
      </rPr>
      <t>Check for errors in Rating.</t>
    </r>
  </si>
  <si>
    <r>
      <t xml:space="preserve">Q7- What does the formula </t>
    </r>
    <r>
      <rPr>
        <sz val="10"/>
        <color theme="1"/>
        <rFont val="Arial Unicode MS"/>
      </rPr>
      <t>=A1:A3, B1:B3</t>
    </r>
    <r>
      <rPr>
        <sz val="11"/>
        <color theme="1"/>
        <rFont val="Aptos Narrow"/>
        <family val="2"/>
        <scheme val="minor"/>
      </rPr>
      <t xml:space="preserve"> represent?</t>
    </r>
  </si>
  <si>
    <r>
      <t xml:space="preserve">Q8- What does </t>
    </r>
    <r>
      <rPr>
        <sz val="10"/>
        <color theme="1"/>
        <rFont val="Arial Unicode MS"/>
      </rPr>
      <t>=A1:A10 B1:B10</t>
    </r>
    <r>
      <rPr>
        <sz val="11"/>
        <color theme="1"/>
        <rFont val="Aptos Narrow"/>
        <family val="2"/>
        <scheme val="minor"/>
      </rPr>
      <t xml:space="preserve"> (without a comma) represent?</t>
    </r>
  </si>
  <si>
    <t xml:space="preserve">Q9- What does the formula =IF(A1=100, "Pass", "Fail") return if </t>
  </si>
  <si>
    <t>Q10- What will =IF(A1&gt;50, A1*2, A1+10) return when A1=40</t>
  </si>
  <si>
    <t>Favorite Color</t>
  </si>
  <si>
    <t>Dan</t>
  </si>
  <si>
    <t>Yellow</t>
  </si>
  <si>
    <t>Gil</t>
  </si>
  <si>
    <t>Red</t>
  </si>
  <si>
    <t>Blue</t>
  </si>
  <si>
    <t>Black</t>
  </si>
  <si>
    <t>Sharon</t>
  </si>
  <si>
    <t>Pink</t>
  </si>
  <si>
    <t>no changes</t>
  </si>
  <si>
    <t>Q4</t>
  </si>
  <si>
    <t>Q5</t>
  </si>
  <si>
    <t>NOTE: There's no countall , so I assume that the question has asked to count all non empty cells.</t>
  </si>
  <si>
    <t>ANSWER</t>
  </si>
  <si>
    <t>Option c</t>
  </si>
  <si>
    <t>Fail</t>
  </si>
  <si>
    <t>Option d</t>
  </si>
  <si>
    <t>Option b</t>
  </si>
  <si>
    <t>option b</t>
  </si>
  <si>
    <t>ANSWER IN COLUMN I</t>
  </si>
  <si>
    <t>Row Labels</t>
  </si>
  <si>
    <t>Grand Total</t>
  </si>
  <si>
    <t xml:space="preserve">Sum of  Amount </t>
  </si>
  <si>
    <t>BRANCH</t>
  </si>
  <si>
    <t>BRANCH WISE AMOUNT</t>
  </si>
  <si>
    <t>Office No.</t>
  </si>
  <si>
    <t>State code</t>
  </si>
  <si>
    <t>Hierarchial Level</t>
  </si>
  <si>
    <t>Floor code</t>
  </si>
  <si>
    <t>Unique Emp Code</t>
  </si>
  <si>
    <t>Username</t>
  </si>
  <si>
    <t>sub-domain</t>
  </si>
  <si>
    <t>Performance Levels</t>
  </si>
  <si>
    <t>Year of last review</t>
  </si>
  <si>
    <t>Performance Score</t>
  </si>
  <si>
    <t>Street name</t>
  </si>
  <si>
    <t>City name</t>
  </si>
  <si>
    <t>state &amp; ZIP</t>
  </si>
  <si>
    <t>Office Age</t>
  </si>
  <si>
    <t>middle name</t>
  </si>
  <si>
    <t>initials</t>
  </si>
  <si>
    <t>salary categorization</t>
  </si>
  <si>
    <t>filled with this background color</t>
  </si>
  <si>
    <t>abcde</t>
  </si>
  <si>
    <t>NOTE: In the doubt clearing session, we were told to leave this question as its not clear.</t>
  </si>
  <si>
    <t>NOTE: ive two approaches: 1 is yes/no, other is using total score and comparing to 200</t>
  </si>
  <si>
    <t>Years B/w release year n today</t>
  </si>
  <si>
    <t>I'VE HIGHLIGHTED "TOTAL" COLUMN AS NO COLUMN IS MENTIONED</t>
  </si>
  <si>
    <t>NOTE:</t>
  </si>
  <si>
    <t>SORT BY AGE:</t>
  </si>
  <si>
    <t>SORT BY SALARY:</t>
  </si>
  <si>
    <t>SORT BY JOIN DATE:</t>
  </si>
  <si>
    <t>FILTER BY DEPT:</t>
  </si>
  <si>
    <t>FILTER BY CITY:</t>
  </si>
  <si>
    <t>ADV FILTER:</t>
  </si>
  <si>
    <t>&gt;30</t>
  </si>
  <si>
    <t>Green</t>
  </si>
  <si>
    <t>E008</t>
  </si>
  <si>
    <t>Go to Solutions</t>
  </si>
  <si>
    <t>Emp Identification Code</t>
  </si>
  <si>
    <t>city code</t>
  </si>
  <si>
    <t>Adv combination</t>
  </si>
  <si>
    <t>Reverse extraction</t>
  </si>
  <si>
    <t>NOTE: I am considering only thr ID's staring with A-, BB- . For example, A-01, B-01. Hence not counting 01-A ETC</t>
  </si>
  <si>
    <t>Berlin</t>
  </si>
  <si>
    <t>Germany</t>
  </si>
  <si>
    <t>Anna Schmidt</t>
  </si>
  <si>
    <t>Tokyo</t>
  </si>
  <si>
    <t>Japan</t>
  </si>
  <si>
    <t>Hair Dryer</t>
  </si>
  <si>
    <t>Kenji Yamamoto</t>
  </si>
  <si>
    <t>USA</t>
  </si>
  <si>
    <t>AMER</t>
  </si>
  <si>
    <t>Lisa Johnson</t>
  </si>
  <si>
    <t>São Paulo</t>
  </si>
  <si>
    <t>Brazil</t>
  </si>
  <si>
    <t>Bruno Alves</t>
  </si>
  <si>
    <t>Nairobi</t>
  </si>
  <si>
    <t>Kenya</t>
  </si>
  <si>
    <t>Grace Mwangi</t>
  </si>
  <si>
    <t>Auckland</t>
  </si>
  <si>
    <t>New Zealand</t>
  </si>
  <si>
    <t>Ethan Clarke</t>
  </si>
  <si>
    <t>Mark Simmons</t>
  </si>
  <si>
    <t>India</t>
  </si>
  <si>
    <t>Ceiling Fan</t>
  </si>
  <si>
    <t>Anjali Verma</t>
  </si>
  <si>
    <t>Rome</t>
  </si>
  <si>
    <t>Italy</t>
  </si>
  <si>
    <t>Marco Rossi</t>
  </si>
  <si>
    <t>Toronto</t>
  </si>
  <si>
    <t>Canada</t>
  </si>
  <si>
    <t>Hair Straightener</t>
  </si>
  <si>
    <t>Julia Nguyen</t>
  </si>
  <si>
    <t>Lisbon</t>
  </si>
  <si>
    <t>Portugal</t>
  </si>
  <si>
    <t>Miguel Costa</t>
  </si>
  <si>
    <t>Bangkok</t>
  </si>
  <si>
    <t>Thailand</t>
  </si>
  <si>
    <t>Coffee Grinder</t>
  </si>
  <si>
    <t>Niran Thongchai</t>
  </si>
  <si>
    <t>Sum of List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</si>
</sst>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_);[Red]\(&quot;$&quot;#,##0\)"/>
    <numFmt numFmtId="44" formatCode="_(&quot;$&quot;* #,##0.00_);_(&quot;$&quot;* \(#,##0.00\);_(&quot;$&quot;* &quot;-&quot;??_);_(@_)"/>
    <numFmt numFmtId="164" formatCode="_ * #,##0.00_ ;_ * \-#,##0.00_ ;_ * &quot;-&quot;??_ ;_ @_ "/>
    <numFmt numFmtId="165" formatCode="&quot;$&quot;#,##0"/>
    <numFmt numFmtId="166" formatCode="[$-409]mmmm\ d\,\ yyyy;@"/>
    <numFmt numFmtId="167" formatCode="&quot;$&quot;#,##0_);\(&quot;$&quot;#,##0\);&quot;$&quot;0_)"/>
    <numFmt numFmtId="168" formatCode="[$$-1004]#,##0"/>
    <numFmt numFmtId="169" formatCode="d\ mmm\ yy"/>
    <numFmt numFmtId="170" formatCode="_(* #,##0_);_(* \(#,##0\);_(* &quot;-&quot;??_);_(@_)"/>
    <numFmt numFmtId="171" formatCode="&quot;$&quot;#,##0.00"/>
    <numFmt numFmtId="172" formatCode="[$-F800]dddd\,\ mmmm\ dd\,\ yyyy"/>
    <numFmt numFmtId="173" formatCode="[$-F400]h:mm:ss\ AM/PM"/>
    <numFmt numFmtId="181" formatCode="yyyy\-mm\-dd"/>
    <numFmt numFmtId="184" formatCode="_(&quot;$&quot;* #,##0_);_(&quot;$&quot;* \(#,##0\);_(&quot;$&quot;* &quot;-&quot;??_);_(@_)"/>
  </numFmts>
  <fonts count="48">
    <font>
      <sz val="11"/>
      <color theme="1"/>
      <name val="Aptos Narrow"/>
      <family val="2"/>
      <scheme val="minor"/>
    </font>
    <font>
      <b/>
      <sz val="11"/>
      <color theme="1"/>
      <name val="Aptos Narrow"/>
      <family val="2"/>
      <scheme val="minor"/>
    </font>
    <font>
      <b/>
      <sz val="10"/>
      <color rgb="FF404040"/>
      <name val="Segoe UI"/>
      <family val="2"/>
    </font>
    <font>
      <sz val="10"/>
      <color rgb="FF404040"/>
      <name val="Segoe UI"/>
      <family val="2"/>
    </font>
    <font>
      <sz val="9.6"/>
      <color rgb="FF404040"/>
      <name val="Var(--ds-font-family-code)"/>
    </font>
    <font>
      <b/>
      <sz val="12"/>
      <color theme="1"/>
      <name val="Aptos Narrow"/>
      <family val="2"/>
      <scheme val="minor"/>
    </font>
    <font>
      <sz val="11"/>
      <color theme="1"/>
      <name val="Aptos Narrow"/>
      <family val="2"/>
      <scheme val="minor"/>
    </font>
    <font>
      <sz val="10"/>
      <color rgb="FF000000"/>
      <name val="Tahoma"/>
      <family val="2"/>
    </font>
    <font>
      <b/>
      <sz val="10"/>
      <color rgb="FFFFFFFF"/>
      <name val="Tahoma"/>
      <family val="2"/>
    </font>
    <font>
      <b/>
      <sz val="10"/>
      <color rgb="FF000000"/>
      <name val="Tahoma"/>
      <family val="2"/>
    </font>
    <font>
      <sz val="10"/>
      <color theme="1"/>
      <name val="Arial Unicode MS"/>
    </font>
    <font>
      <b/>
      <sz val="13.5"/>
      <color theme="1"/>
      <name val="Aptos Narrow"/>
      <family val="2"/>
      <scheme val="minor"/>
    </font>
    <font>
      <b/>
      <sz val="12"/>
      <color theme="1"/>
      <name val="Times New Roman"/>
      <family val="1"/>
    </font>
    <font>
      <sz val="11"/>
      <name val="Calibri"/>
      <family val="2"/>
    </font>
    <font>
      <b/>
      <sz val="11"/>
      <name val="Aptos Narrow"/>
      <family val="2"/>
      <scheme val="minor"/>
    </font>
    <font>
      <sz val="11"/>
      <color indexed="8"/>
      <name val="Calibri"/>
      <charset val="177"/>
    </font>
    <font>
      <sz val="11"/>
      <color indexed="8"/>
      <name val="Calibri"/>
      <charset val="134"/>
    </font>
    <font>
      <b/>
      <sz val="11"/>
      <color indexed="8"/>
      <name val="Calibri"/>
      <charset val="134"/>
    </font>
    <font>
      <b/>
      <sz val="20"/>
      <color indexed="8"/>
      <name val="Calibri Light"/>
      <charset val="134"/>
    </font>
    <font>
      <b/>
      <sz val="18"/>
      <color indexed="8"/>
      <name val="Calibri Light"/>
      <charset val="134"/>
    </font>
    <font>
      <b/>
      <sz val="11"/>
      <color indexed="9"/>
      <name val="Calibri"/>
      <charset val="134"/>
    </font>
    <font>
      <b/>
      <sz val="18"/>
      <color indexed="8"/>
      <name val="Corbel"/>
      <charset val="134"/>
    </font>
    <font>
      <b/>
      <sz val="12"/>
      <color indexed="8"/>
      <name val="Calibri"/>
      <charset val="134"/>
    </font>
    <font>
      <b/>
      <sz val="14"/>
      <color indexed="8"/>
      <name val="Calibri"/>
      <charset val="134"/>
    </font>
    <font>
      <b/>
      <sz val="24"/>
      <color indexed="8"/>
      <name val="Calibri Light"/>
      <charset val="134"/>
    </font>
    <font>
      <b/>
      <sz val="22"/>
      <color indexed="8"/>
      <name val="Calibri Light"/>
      <charset val="134"/>
    </font>
    <font>
      <sz val="12"/>
      <color indexed="8"/>
      <name val="Calibri"/>
      <charset val="134"/>
    </font>
    <font>
      <b/>
      <sz val="16"/>
      <color indexed="47"/>
      <name val="Calibri"/>
      <charset val="134"/>
    </font>
    <font>
      <sz val="16"/>
      <color indexed="8"/>
      <name val="Calibri"/>
      <charset val="134"/>
    </font>
    <font>
      <b/>
      <sz val="16"/>
      <color indexed="63"/>
      <name val="Calibri"/>
      <charset val="134"/>
    </font>
    <font>
      <sz val="14"/>
      <color indexed="8"/>
      <name val="Calibri"/>
      <charset val="134"/>
    </font>
    <font>
      <b/>
      <sz val="14"/>
      <color indexed="23"/>
      <name val="Calibri"/>
      <charset val="134"/>
    </font>
    <font>
      <sz val="14"/>
      <color indexed="57"/>
      <name val="Calibri"/>
      <charset val="134"/>
    </font>
    <font>
      <sz val="14"/>
      <color indexed="23"/>
      <name val="Calibri"/>
      <charset val="134"/>
    </font>
    <font>
      <b/>
      <sz val="14"/>
      <color indexed="10"/>
      <name val="Calibri"/>
      <charset val="134"/>
    </font>
    <font>
      <sz val="12"/>
      <name val="Aptos Narrow"/>
      <family val="2"/>
      <scheme val="minor"/>
    </font>
    <font>
      <sz val="11"/>
      <color rgb="FF000000"/>
      <name val="Aptos Narrow"/>
      <charset val="134"/>
      <scheme val="minor"/>
    </font>
    <font>
      <b/>
      <sz val="11"/>
      <color rgb="FF000000"/>
      <name val="Aptos Narrow"/>
      <charset val="134"/>
      <scheme val="minor"/>
    </font>
    <font>
      <b/>
      <sz val="20"/>
      <color rgb="FF000000"/>
      <name val="Calibri Light"/>
      <charset val="134"/>
    </font>
    <font>
      <sz val="11"/>
      <color rgb="FFFF0000"/>
      <name val="Aptos Narrow"/>
      <family val="2"/>
      <scheme val="minor"/>
    </font>
    <font>
      <b/>
      <sz val="11"/>
      <color indexed="8"/>
      <name val="Calibri"/>
      <family val="2"/>
    </font>
    <font>
      <sz val="12"/>
      <color rgb="FFFF0000"/>
      <name val="Calibri"/>
      <family val="2"/>
    </font>
    <font>
      <sz val="10"/>
      <color rgb="FFFF0000"/>
      <name val="Tahoma"/>
      <family val="2"/>
    </font>
    <font>
      <u/>
      <sz val="11"/>
      <color theme="10"/>
      <name val="Aptos Narrow"/>
      <family val="2"/>
      <scheme val="minor"/>
    </font>
    <font>
      <sz val="11"/>
      <color rgb="FF000000"/>
      <name val="Aptos Narrow"/>
      <family val="2"/>
      <scheme val="minor"/>
    </font>
    <font>
      <sz val="11"/>
      <color indexed="8"/>
      <name val="Calibri"/>
      <family val="2"/>
    </font>
    <font>
      <b/>
      <sz val="11"/>
      <color rgb="FFFF0000"/>
      <name val="Calibri"/>
      <family val="2"/>
    </font>
    <font>
      <sz val="12"/>
      <color indexed="8"/>
      <name val="Calibri"/>
      <family val="2"/>
    </font>
  </fonts>
  <fills count="35">
    <fill>
      <patternFill patternType="none"/>
    </fill>
    <fill>
      <patternFill patternType="gray125"/>
    </fill>
    <fill>
      <patternFill patternType="solid">
        <fgColor theme="0"/>
        <bgColor indexed="64"/>
      </patternFill>
    </fill>
    <fill>
      <patternFill patternType="solid">
        <fgColor theme="3" tint="0.89999084444715716"/>
        <bgColor indexed="64"/>
      </patternFill>
    </fill>
    <fill>
      <patternFill patternType="solid">
        <fgColor rgb="FFFFFFFF"/>
        <bgColor indexed="64"/>
      </patternFill>
    </fill>
    <fill>
      <patternFill patternType="solid">
        <fgColor rgb="FFFFF2CB"/>
        <bgColor indexed="64"/>
      </patternFill>
    </fill>
    <fill>
      <patternFill patternType="solid">
        <fgColor rgb="FFC00000"/>
        <bgColor indexed="64"/>
      </patternFill>
    </fill>
    <fill>
      <patternFill patternType="solid">
        <fgColor rgb="FF002060"/>
        <bgColor indexed="64"/>
      </patternFill>
    </fill>
    <fill>
      <patternFill patternType="solid">
        <fgColor rgb="FFFFF2CB"/>
        <bgColor rgb="FFDEEAF6"/>
      </patternFill>
    </fill>
    <fill>
      <patternFill patternType="solid">
        <fgColor rgb="FF4473C4"/>
        <bgColor rgb="FF5C9BD5"/>
      </patternFill>
    </fill>
    <fill>
      <patternFill patternType="solid">
        <fgColor rgb="FFFFFF00"/>
        <bgColor indexed="64"/>
      </patternFill>
    </fill>
    <fill>
      <patternFill patternType="solid">
        <fgColor rgb="FFBDD6EE"/>
        <bgColor rgb="FFBDD6EE"/>
      </patternFill>
    </fill>
    <fill>
      <patternFill patternType="solid">
        <fgColor rgb="FFFCE4D6"/>
        <bgColor indexed="64"/>
      </patternFill>
    </fill>
    <fill>
      <patternFill patternType="solid">
        <fgColor rgb="FF5B9BD5"/>
        <bgColor indexed="64"/>
      </patternFill>
    </fill>
    <fill>
      <patternFill patternType="solid">
        <fgColor rgb="FFD6DCE4"/>
        <bgColor indexed="64"/>
      </patternFill>
    </fill>
    <fill>
      <patternFill patternType="solid">
        <fgColor rgb="FFDBDBDB"/>
        <bgColor indexed="64"/>
      </patternFill>
    </fill>
    <fill>
      <patternFill patternType="solid">
        <fgColor rgb="FF0CA0A0"/>
        <bgColor indexed="64"/>
      </patternFill>
    </fill>
    <fill>
      <patternFill patternType="solid">
        <fgColor rgb="FFFFE5FF"/>
        <bgColor indexed="64"/>
      </patternFill>
    </fill>
    <fill>
      <patternFill patternType="solid">
        <fgColor rgb="FFE1F4FF"/>
        <bgColor indexed="64"/>
      </patternFill>
    </fill>
    <fill>
      <patternFill patternType="solid">
        <fgColor rgb="FFCCECFF"/>
        <bgColor indexed="64"/>
      </patternFill>
    </fill>
    <fill>
      <patternFill patternType="solid">
        <fgColor rgb="FFD0CECE"/>
        <bgColor indexed="64"/>
      </patternFill>
    </fill>
    <fill>
      <patternFill patternType="solid">
        <fgColor rgb="FFF2F2F2"/>
        <bgColor indexed="64"/>
      </patternFill>
    </fill>
    <fill>
      <patternFill patternType="solid">
        <fgColor rgb="FFF1BD62"/>
        <bgColor indexed="64"/>
      </patternFill>
    </fill>
    <fill>
      <patternFill patternType="solid">
        <fgColor rgb="FF414042"/>
        <bgColor indexed="64"/>
      </patternFill>
    </fill>
    <fill>
      <patternFill patternType="solid">
        <fgColor rgb="FFD9E1F2"/>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3" tint="9.9978637043366805E-2"/>
        <bgColor indexed="64"/>
      </patternFill>
    </fill>
    <fill>
      <patternFill patternType="solid">
        <fgColor theme="6" tint="0.59999389629810485"/>
        <bgColor indexed="64"/>
      </patternFill>
    </fill>
    <fill>
      <patternFill patternType="solid">
        <fgColor rgb="FFFFC000"/>
        <bgColor indexed="64"/>
      </patternFill>
    </fill>
    <fill>
      <patternFill patternType="solid">
        <fgColor theme="8" tint="0.39997558519241921"/>
        <bgColor indexed="64"/>
      </patternFill>
    </fill>
    <fill>
      <patternFill patternType="solid">
        <fgColor theme="5" tint="-0.249977111117893"/>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rgb="FFD5DCE4"/>
      </left>
      <right style="thin">
        <color rgb="FFD5DCE4"/>
      </right>
      <top style="thin">
        <color rgb="FFD5DCE4"/>
      </top>
      <bottom style="thin">
        <color rgb="FFD5DCE4"/>
      </bottom>
      <diagonal/>
    </border>
    <border>
      <left style="thin">
        <color indexed="64"/>
      </left>
      <right/>
      <top/>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rgb="FF5B9BD5"/>
      </left>
      <right/>
      <top/>
      <bottom/>
      <diagonal/>
    </border>
    <border>
      <left/>
      <right style="thin">
        <color rgb="FF5B9BD5"/>
      </right>
      <top style="thin">
        <color rgb="FF5B9BD5"/>
      </top>
      <bottom style="thin">
        <color rgb="FF5B9BD5"/>
      </bottom>
      <diagonal/>
    </border>
    <border>
      <left style="thin">
        <color rgb="FF5B9BD5"/>
      </left>
      <right/>
      <top style="thin">
        <color rgb="FF5B9BD5"/>
      </top>
      <bottom style="thin">
        <color rgb="FF5B9BD5"/>
      </bottom>
      <diagonal/>
    </border>
    <border>
      <left/>
      <right style="thin">
        <color rgb="FF5B9BD5"/>
      </right>
      <top style="thin">
        <color rgb="FF5B9BD5"/>
      </top>
      <bottom/>
      <diagonal/>
    </border>
    <border>
      <left style="thin">
        <color rgb="FF5B9BD5"/>
      </left>
      <right/>
      <top style="thin">
        <color rgb="FF5B9BD5"/>
      </top>
      <bottom/>
      <diagonal/>
    </border>
    <border>
      <left/>
      <right style="thin">
        <color rgb="FF5B9BD5"/>
      </right>
      <top/>
      <bottom style="thin">
        <color rgb="FF5B9BD5"/>
      </bottom>
      <diagonal/>
    </border>
    <border>
      <left style="thin">
        <color rgb="FF5B9BD5"/>
      </left>
      <right/>
      <top/>
      <bottom style="thin">
        <color rgb="FF5B9BD5"/>
      </bottom>
      <diagonal/>
    </border>
    <border>
      <left/>
      <right style="thin">
        <color rgb="FF5B9BD5"/>
      </right>
      <top/>
      <bottom/>
      <diagonal/>
    </border>
    <border>
      <left/>
      <right style="thin">
        <color auto="1"/>
      </right>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rgb="FFFFFFFF"/>
      </left>
      <right/>
      <top/>
      <bottom/>
      <diagonal/>
    </border>
    <border>
      <left style="medium">
        <color rgb="FFFFFFFF"/>
      </left>
      <right style="medium">
        <color rgb="FFFFFFFF"/>
      </right>
      <top/>
      <bottom/>
      <diagonal/>
    </border>
    <border>
      <left/>
      <right style="medium">
        <color rgb="FFFFFFFF"/>
      </right>
      <top/>
      <bottom/>
      <diagonal/>
    </border>
    <border>
      <left/>
      <right/>
      <top/>
      <bottom style="medium">
        <color rgb="FFF1BD62"/>
      </bottom>
      <diagonal/>
    </border>
    <border>
      <left/>
      <right/>
      <top/>
      <bottom style="medium">
        <color rgb="FF414042"/>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right style="thin">
        <color rgb="FF757171"/>
      </right>
      <top/>
      <bottom style="thin">
        <color rgb="FF757171"/>
      </bottom>
      <diagonal/>
    </border>
    <border>
      <left style="thin">
        <color rgb="FF757171"/>
      </left>
      <right/>
      <top/>
      <bottom style="thin">
        <color rgb="FF757171"/>
      </bottom>
      <diagonal/>
    </border>
    <border>
      <left/>
      <right style="thin">
        <color rgb="FF757171"/>
      </right>
      <top/>
      <bottom/>
      <diagonal/>
    </border>
    <border>
      <left style="thin">
        <color rgb="FF757171"/>
      </left>
      <right/>
      <top/>
      <bottom/>
      <diagonal/>
    </border>
    <border>
      <left/>
      <right style="thin">
        <color rgb="FF757171"/>
      </right>
      <top style="thin">
        <color rgb="FF757171"/>
      </top>
      <bottom/>
      <diagonal/>
    </border>
    <border>
      <left style="thin">
        <color rgb="FF757171"/>
      </left>
      <right/>
      <top style="thin">
        <color rgb="FF757171"/>
      </top>
      <bottom/>
      <diagonal/>
    </border>
    <border>
      <left style="thin">
        <color indexed="64"/>
      </left>
      <right style="thin">
        <color indexed="64"/>
      </right>
      <top/>
      <bottom/>
      <diagonal/>
    </border>
  </borders>
  <cellStyleXfs count="4">
    <xf numFmtId="0" fontId="0" fillId="0" borderId="0"/>
    <xf numFmtId="9" fontId="6" fillId="0" borderId="0" applyFont="0" applyFill="0" applyBorder="0" applyAlignment="0" applyProtection="0"/>
    <xf numFmtId="44" fontId="6" fillId="0" borderId="0" applyFont="0" applyFill="0" applyBorder="0" applyAlignment="0" applyProtection="0"/>
    <xf numFmtId="0" fontId="43" fillId="0" borderId="0" applyNumberFormat="0" applyFill="0" applyBorder="0" applyAlignment="0" applyProtection="0"/>
  </cellStyleXfs>
  <cellXfs count="260">
    <xf numFmtId="0" fontId="0" fillId="0" borderId="0" xfId="0"/>
    <xf numFmtId="0" fontId="2" fillId="0" borderId="0" xfId="0" applyFont="1" applyAlignment="1">
      <alignment horizontal="left" vertical="center" wrapText="1"/>
    </xf>
    <xf numFmtId="0" fontId="0" fillId="0" borderId="0" xfId="0" applyAlignment="1">
      <alignment vertical="center" wrapText="1"/>
    </xf>
    <xf numFmtId="0" fontId="3" fillId="0" borderId="0" xfId="0" applyFont="1" applyAlignment="1">
      <alignment vertical="center" wrapText="1"/>
    </xf>
    <xf numFmtId="0" fontId="0" fillId="2" borderId="0" xfId="0" applyFill="1"/>
    <xf numFmtId="0" fontId="0" fillId="2" borderId="1" xfId="0" applyFill="1" applyBorder="1"/>
    <xf numFmtId="0" fontId="4" fillId="0" borderId="1" xfId="0" applyFont="1" applyBorder="1" applyAlignment="1">
      <alignment horizontal="left" vertical="center" wrapText="1" indent="1"/>
    </xf>
    <xf numFmtId="0" fontId="0" fillId="3" borderId="1" xfId="0" applyFill="1" applyBorder="1"/>
    <xf numFmtId="0" fontId="1" fillId="0" borderId="1" xfId="0" applyFont="1" applyBorder="1" applyAlignment="1">
      <alignment horizontal="center" vertical="top"/>
    </xf>
    <xf numFmtId="0" fontId="1" fillId="0" borderId="0" xfId="0" applyFont="1" applyAlignment="1">
      <alignment horizontal="center" vertical="center" wrapText="1"/>
    </xf>
    <xf numFmtId="0" fontId="0" fillId="0" borderId="1" xfId="0" applyBorder="1"/>
    <xf numFmtId="0" fontId="3" fillId="0" borderId="1" xfId="0" applyFont="1" applyBorder="1"/>
    <xf numFmtId="0" fontId="3" fillId="0" borderId="1" xfId="0" applyFont="1" applyBorder="1" applyAlignment="1">
      <alignment vertical="center" wrapText="1"/>
    </xf>
    <xf numFmtId="14" fontId="0" fillId="0" borderId="0" xfId="0" applyNumberFormat="1" applyAlignment="1">
      <alignment vertical="center" wrapText="1"/>
    </xf>
    <xf numFmtId="0" fontId="5" fillId="0" borderId="1" xfId="0" applyFont="1" applyBorder="1" applyAlignment="1">
      <alignment vertical="center"/>
    </xf>
    <xf numFmtId="0" fontId="0" fillId="0" borderId="1" xfId="0" applyBorder="1" applyAlignment="1">
      <alignment horizontal="left" vertical="center" indent="1"/>
    </xf>
    <xf numFmtId="0" fontId="1" fillId="0" borderId="1" xfId="0" applyFont="1" applyBorder="1" applyAlignment="1">
      <alignment horizontal="left" vertical="center" indent="1"/>
    </xf>
    <xf numFmtId="0" fontId="0" fillId="0" borderId="1" xfId="0" applyBorder="1" applyAlignment="1">
      <alignment horizontal="left" vertical="center" indent="2"/>
    </xf>
    <xf numFmtId="0" fontId="0" fillId="0" borderId="0" xfId="0" applyAlignment="1">
      <alignment vertical="center"/>
    </xf>
    <xf numFmtId="0" fontId="7" fillId="0" borderId="0" xfId="0" applyFont="1" applyAlignment="1">
      <alignment vertical="center"/>
    </xf>
    <xf numFmtId="0" fontId="7" fillId="0" borderId="0" xfId="0" applyFont="1" applyAlignment="1">
      <alignment horizontal="center" vertical="center"/>
    </xf>
    <xf numFmtId="0" fontId="7" fillId="4" borderId="2" xfId="0" applyFont="1" applyFill="1" applyBorder="1" applyAlignment="1">
      <alignment horizontal="center" vertical="center"/>
    </xf>
    <xf numFmtId="0" fontId="7" fillId="5" borderId="2" xfId="0" applyFont="1" applyFill="1" applyBorder="1" applyAlignment="1">
      <alignment vertical="center"/>
    </xf>
    <xf numFmtId="0" fontId="8" fillId="6" borderId="2" xfId="0" applyFont="1" applyFill="1" applyBorder="1" applyAlignment="1">
      <alignment horizontal="center" vertical="center"/>
    </xf>
    <xf numFmtId="0" fontId="8" fillId="7" borderId="2" xfId="0" applyFont="1" applyFill="1" applyBorder="1" applyAlignment="1">
      <alignment horizontal="center" vertical="center"/>
    </xf>
    <xf numFmtId="0" fontId="8" fillId="7" borderId="2" xfId="0" applyFont="1" applyFill="1" applyBorder="1" applyAlignment="1">
      <alignment vertical="center"/>
    </xf>
    <xf numFmtId="0" fontId="9" fillId="8" borderId="2" xfId="0" applyFont="1" applyFill="1" applyBorder="1" applyAlignment="1">
      <alignment horizontal="center" vertical="center"/>
    </xf>
    <xf numFmtId="0" fontId="9" fillId="8" borderId="2" xfId="0" applyFont="1" applyFill="1" applyBorder="1" applyAlignment="1">
      <alignment horizontal="left" vertical="center"/>
    </xf>
    <xf numFmtId="0" fontId="8" fillId="9" borderId="2" xfId="0" applyFont="1" applyFill="1" applyBorder="1" applyAlignment="1">
      <alignment horizontal="center" vertical="center"/>
    </xf>
    <xf numFmtId="0" fontId="8" fillId="9" borderId="2" xfId="0" applyFont="1" applyFill="1" applyBorder="1" applyAlignment="1">
      <alignment horizontal="left" vertical="center"/>
    </xf>
    <xf numFmtId="0" fontId="1" fillId="0" borderId="0" xfId="0" applyFont="1" applyAlignment="1">
      <alignment horizontal="left" vertical="center" indent="1"/>
    </xf>
    <xf numFmtId="0" fontId="0" fillId="0" borderId="0" xfId="0" applyAlignment="1">
      <alignment horizontal="left" vertical="center" indent="2"/>
    </xf>
    <xf numFmtId="0" fontId="0" fillId="0" borderId="0" xfId="0" applyAlignment="1">
      <alignment horizontal="left" vertical="center" indent="1"/>
    </xf>
    <xf numFmtId="0" fontId="11" fillId="0" borderId="0" xfId="0" applyFont="1" applyAlignment="1">
      <alignment vertical="center"/>
    </xf>
    <xf numFmtId="0" fontId="5" fillId="0" borderId="0" xfId="0" applyFont="1" applyAlignment="1">
      <alignment vertical="center"/>
    </xf>
    <xf numFmtId="0" fontId="0" fillId="0" borderId="1" xfId="0" applyBorder="1" applyAlignment="1">
      <alignment vertical="center"/>
    </xf>
    <xf numFmtId="3" fontId="0" fillId="0" borderId="1" xfId="0" applyNumberFormat="1" applyBorder="1" applyAlignment="1">
      <alignment vertical="center"/>
    </xf>
    <xf numFmtId="0" fontId="1" fillId="0" borderId="1" xfId="0" applyFont="1" applyBorder="1" applyAlignment="1">
      <alignment horizontal="center" vertical="center"/>
    </xf>
    <xf numFmtId="9" fontId="0" fillId="0" borderId="1" xfId="0" applyNumberFormat="1" applyBorder="1" applyAlignment="1">
      <alignment vertical="center"/>
    </xf>
    <xf numFmtId="0" fontId="1" fillId="0" borderId="1" xfId="0" applyFont="1" applyBorder="1"/>
    <xf numFmtId="0" fontId="1" fillId="0" borderId="3" xfId="0" applyFont="1" applyBorder="1" applyAlignment="1">
      <alignment horizontal="center" vertical="center"/>
    </xf>
    <xf numFmtId="9" fontId="0" fillId="0" borderId="1" xfId="0" applyNumberFormat="1" applyBorder="1" applyAlignment="1">
      <alignment vertical="center" wrapText="1"/>
    </xf>
    <xf numFmtId="3" fontId="0" fillId="0" borderId="1" xfId="0" applyNumberFormat="1" applyBorder="1" applyAlignment="1">
      <alignment vertical="center" wrapText="1"/>
    </xf>
    <xf numFmtId="0" fontId="0" fillId="0" borderId="1" xfId="0" applyBorder="1" applyAlignment="1">
      <alignment vertical="center" wrapText="1"/>
    </xf>
    <xf numFmtId="0" fontId="1" fillId="0" borderId="1" xfId="0" applyFont="1" applyBorder="1" applyAlignment="1">
      <alignment horizontal="center" vertical="center" wrapText="1"/>
    </xf>
    <xf numFmtId="0" fontId="1" fillId="0" borderId="0" xfId="0" applyFont="1"/>
    <xf numFmtId="0" fontId="0" fillId="0" borderId="4" xfId="0" applyBorder="1"/>
    <xf numFmtId="0" fontId="0" fillId="0" borderId="1" xfId="0" applyBorder="1" applyAlignment="1">
      <alignment horizontal="left"/>
    </xf>
    <xf numFmtId="0" fontId="0" fillId="0" borderId="0" xfId="0" applyAlignment="1">
      <alignment horizontal="left"/>
    </xf>
    <xf numFmtId="0" fontId="0" fillId="0" borderId="4" xfId="0" applyBorder="1" applyAlignment="1">
      <alignment horizontal="right"/>
    </xf>
    <xf numFmtId="164" fontId="13" fillId="0" borderId="5" xfId="0" applyNumberFormat="1" applyFont="1" applyBorder="1"/>
    <xf numFmtId="164" fontId="13" fillId="0" borderId="5" xfId="0" applyNumberFormat="1" applyFont="1" applyBorder="1" applyAlignment="1">
      <alignment horizontal="left" vertical="center"/>
    </xf>
    <xf numFmtId="0" fontId="13" fillId="0" borderId="5" xfId="0" applyFont="1" applyBorder="1" applyAlignment="1">
      <alignment vertical="center"/>
    </xf>
    <xf numFmtId="0" fontId="13" fillId="0" borderId="5" xfId="0" applyFont="1" applyBorder="1" applyAlignment="1">
      <alignment horizontal="left" vertical="center"/>
    </xf>
    <xf numFmtId="0" fontId="13" fillId="0" borderId="0" xfId="0" applyFont="1" applyAlignment="1">
      <alignment horizontal="left" vertical="center"/>
    </xf>
    <xf numFmtId="0" fontId="13" fillId="11" borderId="5" xfId="0" applyFont="1" applyFill="1" applyBorder="1" applyAlignment="1">
      <alignment horizontal="left" vertical="center"/>
    </xf>
    <xf numFmtId="1" fontId="13" fillId="11" borderId="5" xfId="0" applyNumberFormat="1" applyFont="1" applyFill="1" applyBorder="1" applyAlignment="1">
      <alignment horizontal="left" vertical="center"/>
    </xf>
    <xf numFmtId="0" fontId="14" fillId="0" borderId="7" xfId="0" applyFont="1" applyBorder="1"/>
    <xf numFmtId="0" fontId="14" fillId="0" borderId="8" xfId="0" applyFont="1" applyBorder="1"/>
    <xf numFmtId="9" fontId="0" fillId="0" borderId="9" xfId="1" applyFont="1" applyBorder="1"/>
    <xf numFmtId="0" fontId="0" fillId="0" borderId="10" xfId="0" applyBorder="1"/>
    <xf numFmtId="0" fontId="0" fillId="0" borderId="11" xfId="0" applyBorder="1"/>
    <xf numFmtId="9" fontId="0" fillId="0" borderId="12" xfId="1" applyFont="1" applyBorder="1"/>
    <xf numFmtId="0" fontId="0" fillId="0" borderId="13" xfId="0" applyBorder="1"/>
    <xf numFmtId="9" fontId="0" fillId="0" borderId="14" xfId="1" applyFont="1" applyBorder="1"/>
    <xf numFmtId="0" fontId="0" fillId="0" borderId="15" xfId="0" applyBorder="1"/>
    <xf numFmtId="0" fontId="0" fillId="0" borderId="16" xfId="0" applyBorder="1"/>
    <xf numFmtId="0" fontId="14" fillId="0" borderId="6" xfId="0" applyFont="1" applyBorder="1"/>
    <xf numFmtId="0" fontId="1" fillId="0" borderId="0" xfId="0" applyFont="1" applyAlignment="1">
      <alignment vertical="center"/>
    </xf>
    <xf numFmtId="0" fontId="10" fillId="0" borderId="0" xfId="0" applyFont="1" applyAlignment="1">
      <alignment vertical="center"/>
    </xf>
    <xf numFmtId="0" fontId="0" fillId="0" borderId="1" xfId="0" applyBorder="1" applyAlignment="1">
      <alignment horizontal="right" vertical="center"/>
    </xf>
    <xf numFmtId="0" fontId="1" fillId="0" borderId="1" xfId="0" applyFont="1" applyBorder="1" applyAlignment="1">
      <alignment vertical="center"/>
    </xf>
    <xf numFmtId="0" fontId="1" fillId="0" borderId="0" xfId="0" applyFont="1" applyAlignment="1">
      <alignment horizontal="center" vertical="center"/>
    </xf>
    <xf numFmtId="0" fontId="1" fillId="0" borderId="0" xfId="0" applyFont="1" applyAlignment="1">
      <alignment horizontal="left" vertical="center"/>
    </xf>
    <xf numFmtId="0" fontId="15" fillId="0" borderId="0" xfId="0" applyFont="1"/>
    <xf numFmtId="0" fontId="16" fillId="0" borderId="0" xfId="0" applyFont="1"/>
    <xf numFmtId="0" fontId="16" fillId="0" borderId="17" xfId="0" applyFont="1" applyBorder="1"/>
    <xf numFmtId="165" fontId="16" fillId="0" borderId="18" xfId="0" applyNumberFormat="1" applyFont="1" applyBorder="1"/>
    <xf numFmtId="0" fontId="16" fillId="0" borderId="19" xfId="0" applyFont="1" applyBorder="1"/>
    <xf numFmtId="165" fontId="16" fillId="0" borderId="20" xfId="0" applyNumberFormat="1" applyFont="1" applyBorder="1"/>
    <xf numFmtId="0" fontId="16" fillId="0" borderId="21" xfId="0" applyFont="1" applyBorder="1"/>
    <xf numFmtId="0" fontId="17" fillId="0" borderId="0" xfId="0" applyFont="1"/>
    <xf numFmtId="0" fontId="18" fillId="0" borderId="0" xfId="0" applyFont="1"/>
    <xf numFmtId="165" fontId="16" fillId="0" borderId="22" xfId="0" applyNumberFormat="1" applyFont="1" applyBorder="1"/>
    <xf numFmtId="0" fontId="16" fillId="0" borderId="23" xfId="0" applyFont="1" applyBorder="1"/>
    <xf numFmtId="165" fontId="16" fillId="0" borderId="24" xfId="0" applyNumberFormat="1" applyFont="1" applyBorder="1"/>
    <xf numFmtId="0" fontId="19" fillId="0" borderId="0" xfId="0" applyFont="1"/>
    <xf numFmtId="165" fontId="16" fillId="0" borderId="0" xfId="0" applyNumberFormat="1" applyFont="1"/>
    <xf numFmtId="0" fontId="16" fillId="12" borderId="25" xfId="0" applyFont="1" applyFill="1" applyBorder="1" applyAlignment="1">
      <alignment vertical="center"/>
    </xf>
    <xf numFmtId="0" fontId="16" fillId="12" borderId="26" xfId="0" applyFont="1" applyFill="1" applyBorder="1"/>
    <xf numFmtId="0" fontId="17" fillId="0" borderId="27" xfId="0" applyFont="1" applyBorder="1"/>
    <xf numFmtId="0" fontId="16" fillId="0" borderId="28" xfId="0" applyFont="1" applyBorder="1"/>
    <xf numFmtId="0" fontId="16" fillId="0" borderId="29" xfId="0" applyFont="1" applyBorder="1"/>
    <xf numFmtId="0" fontId="17" fillId="0" borderId="30" xfId="0" applyFont="1" applyBorder="1"/>
    <xf numFmtId="0" fontId="20" fillId="13" borderId="20" xfId="0" applyFont="1" applyFill="1" applyBorder="1"/>
    <xf numFmtId="0" fontId="20" fillId="13" borderId="21" xfId="0" applyFont="1" applyFill="1" applyBorder="1"/>
    <xf numFmtId="0" fontId="21" fillId="0" borderId="0" xfId="0" applyFont="1"/>
    <xf numFmtId="0" fontId="16" fillId="4" borderId="0" xfId="0" applyFont="1" applyFill="1" applyAlignment="1">
      <alignment horizontal="center" vertical="center"/>
    </xf>
    <xf numFmtId="3" fontId="16" fillId="4" borderId="0" xfId="0" applyNumberFormat="1" applyFont="1" applyFill="1" applyAlignment="1">
      <alignment horizontal="center" vertical="center"/>
    </xf>
    <xf numFmtId="17" fontId="16" fillId="4" borderId="0" xfId="0" applyNumberFormat="1" applyFont="1" applyFill="1" applyAlignment="1">
      <alignment horizontal="center" vertical="center"/>
    </xf>
    <xf numFmtId="0" fontId="16" fillId="4" borderId="1" xfId="0" applyFont="1" applyFill="1" applyBorder="1" applyAlignment="1">
      <alignment horizontal="center" vertical="center"/>
    </xf>
    <xf numFmtId="3" fontId="16" fillId="4" borderId="1" xfId="0" applyNumberFormat="1" applyFont="1" applyFill="1" applyBorder="1" applyAlignment="1">
      <alignment horizontal="center" vertical="center"/>
    </xf>
    <xf numFmtId="14" fontId="16" fillId="4" borderId="1" xfId="0" applyNumberFormat="1" applyFont="1" applyFill="1" applyBorder="1" applyAlignment="1">
      <alignment horizontal="center" vertical="center"/>
    </xf>
    <xf numFmtId="0" fontId="22" fillId="14" borderId="0" xfId="0" applyFont="1" applyFill="1" applyAlignment="1">
      <alignment horizontal="center" vertical="center"/>
    </xf>
    <xf numFmtId="0" fontId="22" fillId="14" borderId="1" xfId="0" applyFont="1" applyFill="1" applyBorder="1" applyAlignment="1">
      <alignment horizontal="center" vertical="center"/>
    </xf>
    <xf numFmtId="0" fontId="17" fillId="0" borderId="0" xfId="0" applyFont="1" applyAlignment="1">
      <alignment horizontal="center"/>
    </xf>
    <xf numFmtId="0" fontId="23" fillId="15" borderId="0" xfId="0" applyFont="1" applyFill="1" applyAlignment="1">
      <alignment horizontal="center" vertical="center"/>
    </xf>
    <xf numFmtId="0" fontId="24" fillId="0" borderId="0" xfId="0" applyFont="1"/>
    <xf numFmtId="0" fontId="16" fillId="0" borderId="1" xfId="0" applyFont="1" applyBorder="1" applyAlignment="1">
      <alignment horizontal="center" vertical="center"/>
    </xf>
    <xf numFmtId="0" fontId="20" fillId="16" borderId="1" xfId="0" applyFont="1" applyFill="1" applyBorder="1" applyAlignment="1">
      <alignment horizontal="center" vertical="center"/>
    </xf>
    <xf numFmtId="0" fontId="25" fillId="0" borderId="0" xfId="0" applyFont="1"/>
    <xf numFmtId="0" fontId="16" fillId="0" borderId="1" xfId="0" applyFont="1" applyBorder="1" applyAlignment="1">
      <alignment horizontal="center"/>
    </xf>
    <xf numFmtId="0" fontId="26" fillId="0" borderId="0" xfId="0" applyFont="1" applyAlignment="1">
      <alignment vertical="center"/>
    </xf>
    <xf numFmtId="0" fontId="23" fillId="17" borderId="1" xfId="0" applyFont="1" applyFill="1" applyBorder="1" applyAlignment="1">
      <alignment horizontal="center" vertical="center"/>
    </xf>
    <xf numFmtId="166" fontId="26" fillId="0" borderId="1" xfId="0" applyNumberFormat="1" applyFont="1" applyBorder="1" applyAlignment="1">
      <alignment horizontal="center" vertical="center"/>
    </xf>
    <xf numFmtId="0" fontId="23" fillId="18" borderId="1" xfId="0" applyFont="1" applyFill="1" applyBorder="1" applyAlignment="1">
      <alignment horizontal="center" vertical="center"/>
    </xf>
    <xf numFmtId="0" fontId="26" fillId="0" borderId="1" xfId="0" applyFont="1" applyBorder="1" applyAlignment="1">
      <alignment horizontal="center" vertical="center"/>
    </xf>
    <xf numFmtId="0" fontId="23" fillId="19" borderId="1" xfId="0" applyFont="1" applyFill="1" applyBorder="1" applyAlignment="1">
      <alignment horizontal="center" vertical="center"/>
    </xf>
    <xf numFmtId="0" fontId="23" fillId="0" borderId="0" xfId="0" applyFont="1" applyAlignment="1">
      <alignment vertical="center"/>
    </xf>
    <xf numFmtId="10" fontId="16" fillId="0" borderId="0" xfId="0" applyNumberFormat="1" applyFont="1"/>
    <xf numFmtId="14" fontId="16" fillId="0" borderId="0" xfId="0" applyNumberFormat="1" applyFont="1"/>
    <xf numFmtId="0" fontId="16" fillId="20" borderId="0" xfId="0" applyFont="1" applyFill="1"/>
    <xf numFmtId="167" fontId="16" fillId="0" borderId="0" xfId="0" applyNumberFormat="1" applyFont="1"/>
    <xf numFmtId="0" fontId="20" fillId="22" borderId="33" xfId="0" applyFont="1" applyFill="1" applyBorder="1" applyAlignment="1">
      <alignment horizontal="center"/>
    </xf>
    <xf numFmtId="0" fontId="20" fillId="22" borderId="34" xfId="0" applyFont="1" applyFill="1" applyBorder="1" applyAlignment="1">
      <alignment horizontal="center"/>
    </xf>
    <xf numFmtId="0" fontId="20" fillId="22" borderId="35" xfId="0" applyFont="1" applyFill="1" applyBorder="1" applyAlignment="1">
      <alignment horizontal="center"/>
    </xf>
    <xf numFmtId="0" fontId="20" fillId="23" borderId="33" xfId="0" applyFont="1" applyFill="1" applyBorder="1" applyAlignment="1">
      <alignment horizontal="center"/>
    </xf>
    <xf numFmtId="0" fontId="20" fillId="23" borderId="34" xfId="0" applyFont="1" applyFill="1" applyBorder="1" applyAlignment="1">
      <alignment horizontal="center"/>
    </xf>
    <xf numFmtId="0" fontId="20" fillId="23" borderId="35" xfId="0" applyFont="1" applyFill="1" applyBorder="1" applyAlignment="1">
      <alignment horizontal="center"/>
    </xf>
    <xf numFmtId="0" fontId="16" fillId="0" borderId="36" xfId="0" applyFont="1" applyBorder="1" applyAlignment="1">
      <alignment horizontal="centerContinuous"/>
    </xf>
    <xf numFmtId="0" fontId="27" fillId="0" borderId="36" xfId="0" applyFont="1" applyBorder="1" applyAlignment="1">
      <alignment horizontal="centerContinuous"/>
    </xf>
    <xf numFmtId="0" fontId="28" fillId="0" borderId="37" xfId="0" applyFont="1" applyBorder="1" applyAlignment="1">
      <alignment horizontal="centerContinuous"/>
    </xf>
    <xf numFmtId="0" fontId="29" fillId="0" borderId="37" xfId="0" applyFont="1" applyBorder="1" applyAlignment="1">
      <alignment horizontal="centerContinuous"/>
    </xf>
    <xf numFmtId="0" fontId="30" fillId="0" borderId="0" xfId="0" applyFont="1"/>
    <xf numFmtId="0" fontId="30" fillId="21" borderId="0" xfId="0" applyFont="1" applyFill="1"/>
    <xf numFmtId="0" fontId="31" fillId="21" borderId="0" xfId="0" applyFont="1" applyFill="1"/>
    <xf numFmtId="168" fontId="30" fillId="4" borderId="38" xfId="0" applyNumberFormat="1" applyFont="1" applyFill="1" applyBorder="1" applyAlignment="1">
      <alignment horizontal="center"/>
    </xf>
    <xf numFmtId="169" fontId="32" fillId="4" borderId="38" xfId="0" applyNumberFormat="1" applyFont="1" applyFill="1" applyBorder="1" applyAlignment="1">
      <alignment horizontal="center"/>
    </xf>
    <xf numFmtId="169" fontId="32" fillId="4" borderId="38" xfId="0" applyNumberFormat="1" applyFont="1" applyFill="1" applyBorder="1" applyAlignment="1">
      <alignment horizontal="left"/>
    </xf>
    <xf numFmtId="168" fontId="30" fillId="0" borderId="38" xfId="0" applyNumberFormat="1" applyFont="1" applyBorder="1" applyAlignment="1">
      <alignment horizontal="center"/>
    </xf>
    <xf numFmtId="0" fontId="30" fillId="21" borderId="0" xfId="0" applyFont="1" applyFill="1" applyAlignment="1">
      <alignment horizontal="center"/>
    </xf>
    <xf numFmtId="0" fontId="30" fillId="21" borderId="39" xfId="0" applyFont="1" applyFill="1" applyBorder="1" applyAlignment="1">
      <alignment horizontal="center"/>
    </xf>
    <xf numFmtId="0" fontId="30" fillId="21" borderId="39" xfId="0" applyFont="1" applyFill="1" applyBorder="1"/>
    <xf numFmtId="0" fontId="33" fillId="21" borderId="0" xfId="0" applyFont="1" applyFill="1"/>
    <xf numFmtId="0" fontId="34" fillId="21" borderId="38" xfId="0" applyFont="1" applyFill="1" applyBorder="1" applyAlignment="1">
      <alignment horizontal="center" vertical="center"/>
    </xf>
    <xf numFmtId="0" fontId="36" fillId="0" borderId="0" xfId="0" applyFont="1"/>
    <xf numFmtId="171" fontId="36" fillId="0" borderId="0" xfId="0" applyNumberFormat="1" applyFont="1"/>
    <xf numFmtId="0" fontId="36" fillId="0" borderId="41" xfId="0" applyFont="1" applyBorder="1"/>
    <xf numFmtId="0" fontId="36" fillId="0" borderId="43" xfId="0" applyFont="1" applyBorder="1"/>
    <xf numFmtId="0" fontId="37" fillId="21" borderId="44" xfId="0" applyFont="1" applyFill="1" applyBorder="1"/>
    <xf numFmtId="0" fontId="37" fillId="21" borderId="45" xfId="0" applyFont="1" applyFill="1" applyBorder="1"/>
    <xf numFmtId="0" fontId="37" fillId="24" borderId="0" xfId="0" applyFont="1" applyFill="1"/>
    <xf numFmtId="0" fontId="38" fillId="0" borderId="0" xfId="0" applyFont="1"/>
    <xf numFmtId="0" fontId="16" fillId="0" borderId="0" xfId="0" applyFont="1" applyAlignment="1">
      <alignment horizontal="center"/>
    </xf>
    <xf numFmtId="165" fontId="0" fillId="25" borderId="1" xfId="0" applyNumberFormat="1" applyFill="1" applyBorder="1"/>
    <xf numFmtId="1" fontId="0" fillId="25" borderId="1" xfId="0" applyNumberFormat="1" applyFill="1" applyBorder="1"/>
    <xf numFmtId="172" fontId="0" fillId="25" borderId="1" xfId="0" applyNumberFormat="1" applyFill="1" applyBorder="1"/>
    <xf numFmtId="9" fontId="0" fillId="25" borderId="1" xfId="1" applyFont="1" applyFill="1" applyBorder="1"/>
    <xf numFmtId="173" fontId="0" fillId="25" borderId="1" xfId="0" applyNumberFormat="1" applyFill="1" applyBorder="1"/>
    <xf numFmtId="0" fontId="0" fillId="26" borderId="0" xfId="0" applyFill="1" applyAlignment="1">
      <alignment horizontal="left"/>
    </xf>
    <xf numFmtId="0" fontId="1" fillId="26" borderId="0" xfId="0" applyFont="1" applyFill="1" applyAlignment="1">
      <alignment horizontal="center"/>
    </xf>
    <xf numFmtId="0" fontId="1" fillId="26" borderId="3" xfId="0" applyFont="1" applyFill="1" applyBorder="1" applyAlignment="1">
      <alignment horizontal="center" vertical="center"/>
    </xf>
    <xf numFmtId="0" fontId="0" fillId="26" borderId="0" xfId="0" applyFill="1"/>
    <xf numFmtId="49" fontId="40" fillId="26" borderId="0" xfId="0" applyNumberFormat="1" applyFont="1" applyFill="1"/>
    <xf numFmtId="0" fontId="40" fillId="26" borderId="0" xfId="0" applyFont="1" applyFill="1"/>
    <xf numFmtId="49" fontId="15" fillId="26" borderId="0" xfId="0" applyNumberFormat="1" applyFont="1" applyFill="1"/>
    <xf numFmtId="0" fontId="15" fillId="26" borderId="0" xfId="0" applyFont="1" applyFill="1"/>
    <xf numFmtId="0" fontId="17" fillId="26" borderId="0" xfId="0" applyFont="1" applyFill="1"/>
    <xf numFmtId="0" fontId="1" fillId="26" borderId="0" xfId="0" applyFont="1" applyFill="1" applyAlignment="1">
      <alignment vertical="center"/>
    </xf>
    <xf numFmtId="0" fontId="0" fillId="26" borderId="1" xfId="0" applyFill="1" applyBorder="1" applyAlignment="1">
      <alignment horizontal="left"/>
    </xf>
    <xf numFmtId="0" fontId="0" fillId="26" borderId="1" xfId="0" applyFill="1" applyBorder="1"/>
    <xf numFmtId="0" fontId="16" fillId="0" borderId="0" xfId="0" applyFont="1" applyAlignment="1">
      <alignment horizontal="center"/>
    </xf>
    <xf numFmtId="0" fontId="23" fillId="15" borderId="4" xfId="0" applyFont="1" applyFill="1" applyBorder="1" applyAlignment="1">
      <alignment horizontal="center" vertical="center"/>
    </xf>
    <xf numFmtId="0" fontId="23" fillId="15" borderId="32" xfId="0" applyFont="1" applyFill="1" applyBorder="1" applyAlignment="1">
      <alignment horizontal="center" vertical="center"/>
    </xf>
    <xf numFmtId="0" fontId="23" fillId="15" borderId="31" xfId="0" applyFont="1" applyFill="1" applyBorder="1" applyAlignment="1">
      <alignment horizontal="center" vertical="center"/>
    </xf>
    <xf numFmtId="0" fontId="16" fillId="0" borderId="0" xfId="0" applyFont="1" applyAlignment="1">
      <alignment horizontal="center" wrapText="1"/>
    </xf>
    <xf numFmtId="0" fontId="39" fillId="0" borderId="0" xfId="0" applyFont="1" applyAlignment="1">
      <alignment horizontal="center"/>
    </xf>
    <xf numFmtId="0" fontId="12" fillId="0" borderId="1" xfId="0" applyFont="1" applyBorder="1" applyAlignment="1">
      <alignment horizontal="center"/>
    </xf>
    <xf numFmtId="0" fontId="0" fillId="0" borderId="1" xfId="0" applyBorder="1" applyAlignment="1">
      <alignment horizontal="center"/>
    </xf>
    <xf numFmtId="0" fontId="42" fillId="0" borderId="0" xfId="0" applyFont="1" applyAlignment="1">
      <alignment horizontal="center" vertical="center"/>
    </xf>
    <xf numFmtId="0" fontId="7" fillId="0" borderId="0" xfId="0" applyFont="1" applyAlignment="1">
      <alignment horizontal="center" vertical="center"/>
    </xf>
    <xf numFmtId="0" fontId="0" fillId="0" borderId="1" xfId="0" applyBorder="1" applyAlignment="1">
      <alignment horizontal="center" vertical="center" wrapText="1"/>
    </xf>
    <xf numFmtId="0" fontId="0" fillId="0" borderId="0" xfId="0" applyBorder="1"/>
    <xf numFmtId="0" fontId="0" fillId="26" borderId="10" xfId="0" applyFill="1" applyBorder="1"/>
    <xf numFmtId="0" fontId="0" fillId="26" borderId="15" xfId="0" applyFill="1" applyBorder="1"/>
    <xf numFmtId="0" fontId="0" fillId="0" borderId="0" xfId="0" pivotButton="1"/>
    <xf numFmtId="0" fontId="0" fillId="0" borderId="0" xfId="0" applyNumberFormat="1"/>
    <xf numFmtId="0" fontId="45" fillId="0" borderId="0" xfId="0" applyFont="1" applyAlignment="1">
      <alignment horizontal="center"/>
    </xf>
    <xf numFmtId="172" fontId="23" fillId="26" borderId="1" xfId="0" applyNumberFormat="1" applyFont="1" applyFill="1" applyBorder="1" applyAlignment="1">
      <alignment horizontal="center" vertical="center"/>
    </xf>
    <xf numFmtId="166" fontId="23" fillId="26" borderId="1" xfId="0" applyNumberFormat="1" applyFont="1" applyFill="1" applyBorder="1" applyAlignment="1">
      <alignment horizontal="center" vertical="center"/>
    </xf>
    <xf numFmtId="0" fontId="10" fillId="27" borderId="0" xfId="0" applyFont="1" applyFill="1" applyAlignment="1">
      <alignment vertical="center"/>
    </xf>
    <xf numFmtId="0" fontId="0" fillId="27" borderId="0" xfId="0" applyFill="1"/>
    <xf numFmtId="0" fontId="1" fillId="26" borderId="46" xfId="0" applyFont="1" applyFill="1" applyBorder="1" applyAlignment="1">
      <alignment horizontal="center" vertical="center"/>
    </xf>
    <xf numFmtId="0" fontId="1" fillId="28" borderId="3" xfId="0" applyFont="1" applyFill="1" applyBorder="1" applyAlignment="1">
      <alignment horizontal="center" vertical="center"/>
    </xf>
    <xf numFmtId="0" fontId="0" fillId="28" borderId="0" xfId="0" applyFill="1"/>
    <xf numFmtId="0" fontId="1" fillId="29" borderId="0" xfId="0" applyFont="1" applyFill="1" applyBorder="1" applyAlignment="1">
      <alignment horizontal="center" vertical="center"/>
    </xf>
    <xf numFmtId="0" fontId="0" fillId="29" borderId="0" xfId="0" applyFill="1"/>
    <xf numFmtId="0" fontId="0" fillId="26" borderId="0" xfId="0" applyFill="1" applyBorder="1" applyAlignment="1">
      <alignment vertical="center"/>
    </xf>
    <xf numFmtId="0" fontId="0" fillId="26" borderId="1" xfId="0" applyFill="1" applyBorder="1" applyAlignment="1">
      <alignment horizontal="center"/>
    </xf>
    <xf numFmtId="0" fontId="0" fillId="26" borderId="0" xfId="0" applyFill="1" applyAlignment="1">
      <alignment horizontal="center"/>
    </xf>
    <xf numFmtId="0" fontId="46" fillId="0" borderId="17" xfId="0" applyFont="1" applyBorder="1" applyAlignment="1">
      <alignment horizontal="center" vertical="top"/>
    </xf>
    <xf numFmtId="0" fontId="46" fillId="0" borderId="0" xfId="0" applyFont="1" applyAlignment="1">
      <alignment horizontal="center" vertical="top"/>
    </xf>
    <xf numFmtId="0" fontId="47" fillId="0" borderId="0" xfId="0" applyFont="1" applyAlignment="1">
      <alignment vertical="center"/>
    </xf>
    <xf numFmtId="0" fontId="26" fillId="26" borderId="1" xfId="0" applyFont="1" applyFill="1" applyBorder="1" applyAlignment="1">
      <alignment horizontal="center" vertical="center"/>
    </xf>
    <xf numFmtId="6" fontId="23" fillId="26" borderId="1" xfId="0" applyNumberFormat="1" applyFont="1" applyFill="1" applyBorder="1" applyAlignment="1">
      <alignment horizontal="center" vertical="center"/>
    </xf>
    <xf numFmtId="0" fontId="41" fillId="0" borderId="0" xfId="0" applyFont="1" applyAlignment="1">
      <alignment vertical="center"/>
    </xf>
    <xf numFmtId="0" fontId="26" fillId="26" borderId="0" xfId="0" applyFont="1" applyFill="1" applyAlignment="1">
      <alignment vertical="center"/>
    </xf>
    <xf numFmtId="0" fontId="39" fillId="0" borderId="0" xfId="0" applyFont="1"/>
    <xf numFmtId="181" fontId="0" fillId="26" borderId="1" xfId="0" applyNumberFormat="1" applyFill="1" applyBorder="1"/>
    <xf numFmtId="170" fontId="32" fillId="26" borderId="38" xfId="0" applyNumberFormat="1" applyFont="1" applyFill="1" applyBorder="1" applyAlignment="1">
      <alignment horizontal="left"/>
    </xf>
    <xf numFmtId="184" fontId="32" fillId="26" borderId="38" xfId="2" applyNumberFormat="1" applyFont="1" applyFill="1" applyBorder="1" applyAlignment="1">
      <alignment horizontal="left"/>
    </xf>
    <xf numFmtId="0" fontId="16" fillId="26" borderId="0" xfId="0" applyFont="1" applyFill="1"/>
    <xf numFmtId="0" fontId="0" fillId="10" borderId="0" xfId="0" applyFill="1"/>
    <xf numFmtId="0" fontId="39" fillId="10" borderId="0" xfId="0" applyFont="1" applyFill="1" applyAlignment="1"/>
    <xf numFmtId="0" fontId="39" fillId="10" borderId="0" xfId="0" applyFont="1" applyFill="1"/>
    <xf numFmtId="0" fontId="14" fillId="26" borderId="7" xfId="0" applyFont="1" applyFill="1" applyBorder="1"/>
    <xf numFmtId="0" fontId="0" fillId="26" borderId="7" xfId="0" applyFill="1" applyBorder="1"/>
    <xf numFmtId="0" fontId="43" fillId="26" borderId="0" xfId="3" applyFill="1"/>
    <xf numFmtId="0" fontId="7" fillId="26" borderId="2" xfId="0" applyFont="1" applyFill="1" applyBorder="1" applyAlignment="1">
      <alignment horizontal="center" vertical="center"/>
    </xf>
    <xf numFmtId="0" fontId="0" fillId="0" borderId="0" xfId="0" applyAlignment="1">
      <alignment horizontal="center" wrapText="1"/>
    </xf>
    <xf numFmtId="0" fontId="1" fillId="26" borderId="0" xfId="0" applyFont="1" applyFill="1" applyAlignment="1"/>
    <xf numFmtId="20" fontId="1" fillId="26" borderId="0" xfId="0" applyNumberFormat="1" applyFont="1" applyFill="1" applyAlignment="1">
      <alignment horizontal="center"/>
    </xf>
    <xf numFmtId="0" fontId="1" fillId="26" borderId="0" xfId="0" applyFont="1" applyFill="1"/>
    <xf numFmtId="0" fontId="0" fillId="26" borderId="0" xfId="0" applyFill="1" applyAlignment="1">
      <alignment horizontal="center" wrapText="1"/>
    </xf>
    <xf numFmtId="0" fontId="0" fillId="26" borderId="0" xfId="0" applyFill="1" applyAlignment="1">
      <alignment vertical="center" wrapText="1"/>
    </xf>
    <xf numFmtId="14" fontId="0" fillId="26" borderId="0" xfId="0" applyNumberFormat="1" applyFill="1" applyAlignment="1">
      <alignment vertical="center" wrapText="1"/>
    </xf>
    <xf numFmtId="0" fontId="1" fillId="30" borderId="0" xfId="0" applyFont="1" applyFill="1" applyAlignment="1">
      <alignment horizontal="center" vertical="center" wrapText="1"/>
    </xf>
    <xf numFmtId="0" fontId="0" fillId="31" borderId="0" xfId="0" applyFill="1"/>
    <xf numFmtId="14" fontId="0" fillId="26" borderId="0" xfId="0" applyNumberFormat="1" applyFill="1"/>
    <xf numFmtId="0" fontId="16" fillId="26" borderId="1" xfId="0" applyFont="1" applyFill="1" applyBorder="1" applyAlignment="1">
      <alignment horizontal="center"/>
    </xf>
    <xf numFmtId="0" fontId="45" fillId="26" borderId="1" xfId="0" applyFont="1" applyFill="1" applyBorder="1" applyAlignment="1">
      <alignment horizontal="center"/>
    </xf>
    <xf numFmtId="0" fontId="17" fillId="26" borderId="1" xfId="0" applyFont="1" applyFill="1" applyBorder="1" applyAlignment="1">
      <alignment horizontal="center" vertical="center"/>
    </xf>
    <xf numFmtId="184" fontId="0" fillId="26" borderId="0" xfId="2" applyNumberFormat="1" applyFont="1" applyFill="1"/>
    <xf numFmtId="0" fontId="43" fillId="10" borderId="1" xfId="3" quotePrefix="1" applyFill="1" applyBorder="1"/>
    <xf numFmtId="0" fontId="0" fillId="0" borderId="31" xfId="0" applyBorder="1" applyAlignment="1">
      <alignment vertical="center"/>
    </xf>
    <xf numFmtId="0" fontId="0" fillId="0" borderId="4" xfId="0" applyBorder="1" applyAlignment="1">
      <alignment vertical="center"/>
    </xf>
    <xf numFmtId="0" fontId="1" fillId="0" borderId="25" xfId="0" applyFont="1" applyBorder="1" applyAlignment="1">
      <alignment horizontal="center" vertical="center"/>
    </xf>
    <xf numFmtId="0" fontId="1" fillId="0" borderId="15" xfId="0" applyFont="1" applyBorder="1" applyAlignment="1">
      <alignment horizontal="center" vertical="center"/>
    </xf>
    <xf numFmtId="0" fontId="1" fillId="0" borderId="27" xfId="0" applyFont="1" applyBorder="1" applyAlignment="1">
      <alignment horizontal="center" vertical="center"/>
    </xf>
    <xf numFmtId="0" fontId="0" fillId="0" borderId="28" xfId="0" applyBorder="1" applyAlignment="1">
      <alignment vertical="center"/>
    </xf>
    <xf numFmtId="0" fontId="0" fillId="0" borderId="10" xfId="0" applyBorder="1" applyAlignment="1">
      <alignment vertical="center"/>
    </xf>
    <xf numFmtId="3" fontId="0" fillId="0" borderId="10" xfId="0" applyNumberFormat="1" applyBorder="1" applyAlignment="1">
      <alignment vertical="center"/>
    </xf>
    <xf numFmtId="0" fontId="0" fillId="0" borderId="30" xfId="0" applyBorder="1" applyAlignment="1">
      <alignment vertical="center"/>
    </xf>
    <xf numFmtId="0" fontId="0" fillId="32" borderId="0" xfId="0" applyFill="1"/>
    <xf numFmtId="0" fontId="1" fillId="32" borderId="0" xfId="0" applyFont="1" applyFill="1" applyBorder="1" applyAlignment="1">
      <alignment horizontal="center" vertical="center"/>
    </xf>
    <xf numFmtId="0" fontId="1" fillId="2" borderId="0" xfId="0" applyFont="1" applyFill="1" applyBorder="1" applyAlignment="1">
      <alignment horizontal="center" vertical="center"/>
    </xf>
    <xf numFmtId="0" fontId="0" fillId="33" borderId="0" xfId="0" applyFill="1"/>
    <xf numFmtId="0" fontId="1" fillId="33" borderId="0" xfId="0" applyFont="1" applyFill="1"/>
    <xf numFmtId="0" fontId="1" fillId="2" borderId="46" xfId="0" applyFont="1" applyFill="1" applyBorder="1" applyAlignment="1">
      <alignment horizontal="center" vertical="center"/>
    </xf>
    <xf numFmtId="0" fontId="1" fillId="2" borderId="3" xfId="0" applyFont="1" applyFill="1" applyBorder="1" applyAlignment="1">
      <alignment horizontal="center" vertical="center"/>
    </xf>
    <xf numFmtId="0" fontId="36" fillId="0" borderId="0" xfId="0" applyFont="1" applyAlignment="1">
      <alignment vertical="top"/>
    </xf>
    <xf numFmtId="0" fontId="44" fillId="34" borderId="0" xfId="0" applyFont="1" applyFill="1" applyAlignment="1">
      <alignment vertical="top"/>
    </xf>
    <xf numFmtId="0" fontId="36" fillId="34" borderId="0" xfId="0" applyFont="1" applyFill="1" applyAlignment="1">
      <alignment vertical="top"/>
    </xf>
    <xf numFmtId="0" fontId="0" fillId="34" borderId="0" xfId="0" applyFill="1"/>
    <xf numFmtId="10" fontId="0" fillId="26" borderId="0" xfId="0" applyNumberFormat="1" applyFill="1" applyAlignment="1">
      <alignment vertical="center" wrapText="1"/>
    </xf>
    <xf numFmtId="0" fontId="1" fillId="0" borderId="0" xfId="0" applyFont="1" applyAlignment="1">
      <alignment horizontal="center" vertical="center" wrapText="1"/>
    </xf>
    <xf numFmtId="14" fontId="16" fillId="26" borderId="0" xfId="0" applyNumberFormat="1" applyFont="1" applyFill="1"/>
    <xf numFmtId="10" fontId="16" fillId="26" borderId="0" xfId="0" applyNumberFormat="1" applyFont="1" applyFill="1"/>
    <xf numFmtId="171" fontId="36" fillId="26" borderId="42" xfId="0" applyNumberFormat="1" applyFont="1" applyFill="1" applyBorder="1"/>
    <xf numFmtId="171" fontId="36" fillId="26" borderId="40" xfId="0" applyNumberFormat="1" applyFont="1" applyFill="1" applyBorder="1"/>
  </cellXfs>
  <cellStyles count="4">
    <cellStyle name="Currency" xfId="2" builtinId="4"/>
    <cellStyle name="Hyperlink" xfId="3" builtinId="8"/>
    <cellStyle name="Normal" xfId="0" builtinId="0"/>
    <cellStyle name="Percent" xfId="1" builtinId="5"/>
  </cellStyles>
  <dxfs count="104">
    <dxf>
      <fill>
        <patternFill>
          <bgColor rgb="FFFFC7CE"/>
        </patternFill>
      </fill>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 formatCode="#,##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center"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bottom style="thin">
          <color auto="1"/>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3" tint="9.9978637043366805E-2"/>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3" tint="9.9978637043366805E-2"/>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3" tint="9.9978637043366805E-2"/>
        </patternFill>
      </fill>
      <alignment horizontal="center" vertical="center" textRotation="0" wrapText="1" indent="0" justifyLastLine="0" shrinkToFit="0" readingOrder="0"/>
    </dxf>
    <dxf>
      <numFmt numFmtId="174"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bottom" textRotation="0" wrapText="1" indent="0" justifyLastLine="0" shrinkToFit="0" readingOrder="0"/>
    </dxf>
    <dxf>
      <alignment horizontal="general" vertical="center" textRotation="0" wrapText="1" indent="0" justifyLastLine="0" shrinkToFit="0" readingOrder="0"/>
    </dxf>
    <dxf>
      <numFmt numFmtId="174"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bottom" textRotation="0" wrapText="1" indent="0" justifyLastLine="0" shrinkToFit="0" readingOrder="0"/>
    </dxf>
    <dxf>
      <alignment horizontal="general" vertical="center" textRotation="0" wrapText="1" indent="0" justifyLastLine="0" shrinkToFit="0" readingOrder="0"/>
    </dxf>
    <dxf>
      <numFmt numFmtId="174"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bottom"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3" tint="9.9978637043366805E-2"/>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3" tint="9.9978637043366805E-2"/>
        </patternFill>
      </fill>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fill>
        <patternFill patternType="solid">
          <fgColor indexed="64"/>
          <bgColor theme="3" tint="9.9978637043366805E-2"/>
        </patternFill>
      </fill>
      <alignment horizontal="center"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numFmt numFmtId="174" formatCode="dd/mm/yyyy"/>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center" vertical="bottom"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numFmt numFmtId="174" formatCode="dd/mm/yyyy"/>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center" vertical="bottom"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numFmt numFmtId="174" formatCode="dd/mm/yyyy"/>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general" vertical="center" textRotation="0" wrapText="1" indent="0" justifyLastLine="0" shrinkToFit="0" readingOrder="0"/>
    </dxf>
    <dxf>
      <fill>
        <patternFill>
          <fgColor indexed="64"/>
          <bgColor theme="4" tint="0.59999389629810485"/>
        </patternFill>
      </fill>
      <alignment horizontal="center" vertical="bottom" textRotation="0" wrapText="1" indent="0" justifyLastLine="0" shrinkToFit="0" readingOrder="0"/>
    </dxf>
    <dxf>
      <numFmt numFmtId="174" formatCode="dd/mm/yyyy"/>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bottom"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i val="0"/>
        <strike val="0"/>
        <condense val="0"/>
        <extend val="0"/>
        <outline val="0"/>
        <shadow val="0"/>
        <u val="none"/>
        <vertAlign val="baseline"/>
        <sz val="10"/>
        <color rgb="FF404040"/>
        <name val="Segoe UI"/>
        <family val="2"/>
        <scheme val="none"/>
      </font>
      <alignment horizontal="lef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rgb="FF404040"/>
        <name val="Segoe UI"/>
        <family val="2"/>
        <scheme val="none"/>
      </font>
      <alignment horizontal="general" vertical="center" textRotation="0" wrapText="1" indent="0" justifyLastLine="0" shrinkToFit="0" readingOrder="0"/>
    </dxf>
    <dxf>
      <font>
        <b/>
        <i val="0"/>
        <strike val="0"/>
        <condense val="0"/>
        <extend val="0"/>
        <outline val="0"/>
        <shadow val="0"/>
        <u val="none"/>
        <vertAlign val="baseline"/>
        <sz val="10"/>
        <color rgb="FF404040"/>
        <name val="Segoe UI"/>
        <family val="2"/>
        <scheme val="none"/>
      </font>
      <alignment horizontal="lef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oneCell">
    <xdr:from>
      <xdr:col>3</xdr:col>
      <xdr:colOff>1028700</xdr:colOff>
      <xdr:row>46</xdr:row>
      <xdr:rowOff>7621</xdr:rowOff>
    </xdr:from>
    <xdr:to>
      <xdr:col>4</xdr:col>
      <xdr:colOff>1874520</xdr:colOff>
      <xdr:row>53</xdr:row>
      <xdr:rowOff>30480</xdr:rowOff>
    </xdr:to>
    <mc:AlternateContent xmlns:mc="http://schemas.openxmlformats.org/markup-compatibility/2006">
      <mc:Choice xmlns:a14="http://schemas.microsoft.com/office/drawing/2010/main" Requires="a14">
        <xdr:graphicFrame macro="">
          <xdr:nvGraphicFramePr>
            <xdr:cNvPr id="2" name="Branch">
              <a:extLst>
                <a:ext uri="{FF2B5EF4-FFF2-40B4-BE49-F238E27FC236}">
                  <a16:creationId xmlns:a16="http://schemas.microsoft.com/office/drawing/2014/main" id="{A8F6EA69-3118-2C67-1BBC-9ABC0FED831B}"/>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6407524" y="8867739"/>
              <a:ext cx="1891702" cy="12779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na Maini" refreshedDate="45964.872911921295" createdVersion="8" refreshedVersion="8" minRefreshableVersion="3" recordCount="14" xr:uid="{3E15D795-D591-4C95-87E8-FC33953AB9F6}">
  <cacheSource type="worksheet">
    <worksheetSource ref="B30:H44" sheet="2"/>
  </cacheSource>
  <cacheFields count="7">
    <cacheField name="Date" numFmtId="14">
      <sharedItems containsSemiMixedTypes="0" containsNonDate="0" containsDate="1" containsString="0" minDate="2022-11-09T00:00:00" maxDate="2022-11-17T00:00:00"/>
    </cacheField>
    <cacheField name="Weekday" numFmtId="0">
      <sharedItems/>
    </cacheField>
    <cacheField name=" Amount " numFmtId="0">
      <sharedItems containsSemiMixedTypes="0" containsString="0" containsNumber="1" containsInteger="1" minValue="500" maxValue="50000"/>
    </cacheField>
    <cacheField name="Acct_Type" numFmtId="0">
      <sharedItems/>
    </cacheField>
    <cacheField name="OpenedBy" numFmtId="0">
      <sharedItems/>
    </cacheField>
    <cacheField name="Branch" numFmtId="0">
      <sharedItems count="3">
        <s v="Central"/>
        <s v="North County"/>
        <s v="Westside"/>
      </sharedItems>
    </cacheField>
    <cacheField name="Customer" numFmtId="0">
      <sharedItems/>
    </cacheField>
  </cacheFields>
  <extLst>
    <ext xmlns:x14="http://schemas.microsoft.com/office/spreadsheetml/2009/9/main" uri="{725AE2AE-9491-48be-B2B4-4EB974FC3084}">
      <x14:pivotCacheDefinition pivotCacheId="15832946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jana Maini" refreshedDate="45977.907878124999" createdVersion="8" refreshedVersion="8" minRefreshableVersion="3" recordCount="24" xr:uid="{CCCB5F8C-0CF6-4CCB-8A22-269B05B55523}">
  <cacheSource type="worksheet">
    <worksheetSource ref="X2:AF26" sheet="3"/>
  </cacheSource>
  <cacheFields count="9">
    <cacheField name="Store" numFmtId="0">
      <sharedItems count="21">
        <s v="Berlin"/>
        <s v="Tokyo"/>
        <s v="New York"/>
        <s v="São Paulo"/>
        <s v="Nairobi"/>
        <s v="Auckland"/>
        <s v="Chicago"/>
        <s v="Delhi"/>
        <s v="Rome"/>
        <s v="Toronto"/>
        <s v="Lisbon"/>
        <s v="Bangkok"/>
        <s v="Capetown"/>
        <s v="Sydney"/>
        <s v="Riyadh"/>
        <s v="Tel Aviv"/>
        <s v="Istanbul"/>
        <s v="Kuala Lumpur"/>
        <s v="Dublin"/>
        <s v="Madria"/>
        <s v="London"/>
      </sharedItems>
    </cacheField>
    <cacheField name="Country" numFmtId="0">
      <sharedItems/>
    </cacheField>
    <cacheField name="Region" numFmtId="0">
      <sharedItems/>
    </cacheField>
    <cacheField name="Date" numFmtId="14">
      <sharedItems containsSemiMixedTypes="0" containsNonDate="0" containsDate="1" containsString="0" minDate="2018-06-10T00:00:00" maxDate="2018-07-07T00:00:00"/>
    </cacheField>
    <cacheField name="Item" numFmtId="0">
      <sharedItems/>
    </cacheField>
    <cacheField name="Salesperson" numFmtId="0">
      <sharedItems/>
    </cacheField>
    <cacheField name="List Price" numFmtId="0">
      <sharedItems containsSemiMixedTypes="0" containsString="0" containsNumber="1" containsInteger="1" minValue="30" maxValue="1200"/>
    </cacheField>
    <cacheField name="Actual Price" numFmtId="0">
      <sharedItems containsSemiMixedTypes="0" containsString="0" containsNumber="1" containsInteger="1" minValue="14" maxValue="510"/>
    </cacheField>
    <cacheField name="Discount %" numFmtId="10">
      <sharedItems containsSemiMixedTypes="0" containsString="0" containsNumber="1" minValue="0.53333333333333299" maxValue="0.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d v="2022-11-09T00:00:00"/>
    <s v="Friday"/>
    <n v="5000"/>
    <s v="IRA"/>
    <s v="New Accts"/>
    <x v="0"/>
    <s v="Existing"/>
  </r>
  <r>
    <d v="2022-11-10T00:00:00"/>
    <s v="Saturday"/>
    <n v="14571"/>
    <s v="CD"/>
    <s v="Teller"/>
    <x v="0"/>
    <s v="New"/>
  </r>
  <r>
    <d v="2022-11-10T00:00:00"/>
    <s v="Sunday"/>
    <n v="500"/>
    <s v="Checking"/>
    <s v="New Accts"/>
    <x v="0"/>
    <s v="Existing"/>
  </r>
  <r>
    <d v="2022-11-11T00:00:00"/>
    <s v="Monday"/>
    <n v="15000"/>
    <s v="CD"/>
    <s v="New Accts"/>
    <x v="0"/>
    <s v="Existing"/>
  </r>
  <r>
    <d v="2022-11-11T00:00:00"/>
    <s v="Tuesday"/>
    <n v="4623"/>
    <s v="Savings"/>
    <s v="New Accts"/>
    <x v="1"/>
    <s v="Existing"/>
  </r>
  <r>
    <d v="2022-11-12T00:00:00"/>
    <s v="Wednesday"/>
    <n v="8721"/>
    <s v="Savings"/>
    <s v="New Accts"/>
    <x v="2"/>
    <s v="New"/>
  </r>
  <r>
    <d v="2022-11-12T00:00:00"/>
    <s v="Thursday"/>
    <n v="15276"/>
    <s v="Savings"/>
    <s v="New Accts"/>
    <x v="1"/>
    <s v="Existing"/>
  </r>
  <r>
    <d v="2022-11-13T00:00:00"/>
    <s v="Friday"/>
    <n v="5000"/>
    <s v="Savings"/>
    <s v="New Accts"/>
    <x v="2"/>
    <s v="Existing"/>
  </r>
  <r>
    <d v="2022-11-13T00:00:00"/>
    <s v="Saturday"/>
    <n v="15759"/>
    <s v="CD"/>
    <s v="Teller"/>
    <x v="2"/>
    <s v="Existing"/>
  </r>
  <r>
    <d v="2022-11-14T00:00:00"/>
    <s v="Sunday"/>
    <n v="12000"/>
    <s v="CD"/>
    <s v="New Accts"/>
    <x v="2"/>
    <s v="Existing"/>
  </r>
  <r>
    <d v="2022-11-14T00:00:00"/>
    <s v="Monday"/>
    <n v="7177"/>
    <s v="Savings"/>
    <s v="Teller"/>
    <x v="1"/>
    <s v="Existing"/>
  </r>
  <r>
    <d v="2022-11-15T00:00:00"/>
    <s v="Tuesday"/>
    <n v="6837"/>
    <s v="Savings"/>
    <s v="New Accts"/>
    <x v="2"/>
    <s v="Existing"/>
  </r>
  <r>
    <d v="2022-11-15T00:00:00"/>
    <s v="Wednesday"/>
    <n v="3171"/>
    <s v="Checking"/>
    <s v="New Accts"/>
    <x v="2"/>
    <s v="Existing"/>
  </r>
  <r>
    <d v="2022-11-16T00:00:00"/>
    <s v="Thursday"/>
    <n v="50000"/>
    <s v="Savings"/>
    <s v="New Accts"/>
    <x v="0"/>
    <s v="Existing"/>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s v="Germany"/>
    <s v="EMEA"/>
    <d v="2018-06-25T00:00:00"/>
    <s v="Blender"/>
    <s v="Anna Schmidt"/>
    <n v="90"/>
    <n v="36"/>
    <n v="0.6"/>
  </r>
  <r>
    <x v="1"/>
    <s v="Japan"/>
    <s v="APAC"/>
    <d v="2018-06-26T00:00:00"/>
    <s v="Hair Dryer"/>
    <s v="Kenji Yamamoto"/>
    <n v="80"/>
    <n v="28"/>
    <n v="0.65"/>
  </r>
  <r>
    <x v="2"/>
    <s v="USA"/>
    <s v="AMER"/>
    <d v="2018-06-27T00:00:00"/>
    <s v="Microwave"/>
    <s v="Lisa Johnson"/>
    <n v="500"/>
    <n v="180"/>
    <n v="0.64"/>
  </r>
  <r>
    <x v="3"/>
    <s v="Brazil"/>
    <s v="AMER"/>
    <d v="2018-06-28T00:00:00"/>
    <s v="Washing Machine"/>
    <s v="Bruno Alves"/>
    <n v="1200"/>
    <n v="510"/>
    <n v="0.57499999999999996"/>
  </r>
  <r>
    <x v="4"/>
    <s v="Kenya"/>
    <s v="EMEA"/>
    <d v="2018-06-29T00:00:00"/>
    <s v="Vacuum Cleaner"/>
    <s v="Grace Mwangi"/>
    <n v="60"/>
    <n v="24"/>
    <n v="0.6"/>
  </r>
  <r>
    <x v="5"/>
    <s v="New Zealand"/>
    <s v="APAC"/>
    <d v="2018-06-30T00:00:00"/>
    <s v="Iron"/>
    <s v="Ethan Clarke"/>
    <n v="70"/>
    <n v="25"/>
    <n v="0.64290000000000003"/>
  </r>
  <r>
    <x v="6"/>
    <s v="USA"/>
    <s v="AMER"/>
    <d v="2018-07-01T00:00:00"/>
    <s v="Coffee Maker"/>
    <s v="Mark Simmons"/>
    <n v="110"/>
    <n v="40"/>
    <n v="0.63639999999999997"/>
  </r>
  <r>
    <x v="7"/>
    <s v="India"/>
    <s v="APAC"/>
    <d v="2018-07-02T00:00:00"/>
    <s v="Ceiling Fan"/>
    <s v="Anjali Verma"/>
    <n v="600"/>
    <n v="210"/>
    <n v="0.65"/>
  </r>
  <r>
    <x v="8"/>
    <s v="Italy"/>
    <s v="EMEA"/>
    <d v="2018-07-03T00:00:00"/>
    <s v="Toaster"/>
    <s v="Marco Rossi"/>
    <n v="120"/>
    <n v="55"/>
    <n v="0.54169999999999996"/>
  </r>
  <r>
    <x v="9"/>
    <s v="Canada"/>
    <s v="AMER"/>
    <d v="2018-07-04T00:00:00"/>
    <s v="Hair Straightener"/>
    <s v="Julia Nguyen"/>
    <n v="200"/>
    <n v="85"/>
    <n v="0.57499999999999996"/>
  </r>
  <r>
    <x v="10"/>
    <s v="Portugal"/>
    <s v="EMEA"/>
    <d v="2018-07-05T00:00:00"/>
    <s v="Iron"/>
    <s v="Miguel Costa"/>
    <n v="140"/>
    <n v="58"/>
    <n v="0.5857"/>
  </r>
  <r>
    <x v="11"/>
    <s v="Thailand"/>
    <s v="APAC"/>
    <d v="2018-07-06T00:00:00"/>
    <s v="Coffee Grinder"/>
    <s v="Niran Thongchai"/>
    <n v="60"/>
    <n v="21"/>
    <n v="0.65"/>
  </r>
  <r>
    <x v="12"/>
    <s v="South Africa"/>
    <s v="EMEA"/>
    <d v="2018-06-10T00:00:00"/>
    <s v="Coffee Grinder"/>
    <s v="Noel Bull"/>
    <n v="50"/>
    <n v="20"/>
    <n v="0.6"/>
  </r>
  <r>
    <x v="13"/>
    <s v="Australia"/>
    <s v="APAC"/>
    <d v="2018-06-12T00:00:00"/>
    <s v="Iron"/>
    <s v="Christine Davies"/>
    <n v="50"/>
    <n v="18"/>
    <n v="0.64"/>
  </r>
  <r>
    <x v="13"/>
    <s v="Australia"/>
    <s v="APAC"/>
    <d v="2018-06-13T00:00:00"/>
    <s v="Toaster"/>
    <s v="Susan Luker"/>
    <n v="150"/>
    <n v="68"/>
    <n v="0.54666666666666697"/>
  </r>
  <r>
    <x v="14"/>
    <s v="Saudi Arabia"/>
    <s v="EMEA"/>
    <d v="2018-06-14T00:00:00"/>
    <s v="Toaster"/>
    <s v="Victoria Sherwin"/>
    <n v="500"/>
    <n v="175"/>
    <n v="0.65"/>
  </r>
  <r>
    <x v="15"/>
    <s v="Israel"/>
    <s v="EMEA"/>
    <d v="2018-06-15T00:00:00"/>
    <s v="Toaster"/>
    <s v="David Isaacs"/>
    <n v="30"/>
    <n v="14"/>
    <n v="0.53333333333333299"/>
  </r>
  <r>
    <x v="16"/>
    <s v="Turkey"/>
    <s v="EMEA"/>
    <d v="2018-06-16T00:00:00"/>
    <s v="Ceiling Fan"/>
    <s v="George Sherwin"/>
    <n v="700"/>
    <n v="315"/>
    <n v="0.55000000000000004"/>
  </r>
  <r>
    <x v="17"/>
    <s v="Malaysia"/>
    <s v="APAC"/>
    <d v="2018-06-17T00:00:00"/>
    <s v="Washing Machine"/>
    <s v="Valerie Hook"/>
    <n v="1000"/>
    <n v="360"/>
    <n v="0.64"/>
  </r>
  <r>
    <x v="18"/>
    <s v="Ireland"/>
    <s v="EMEA"/>
    <d v="2018-06-18T00:00:00"/>
    <s v="Blender"/>
    <s v="Robert Harris"/>
    <n v="70"/>
    <n v="28"/>
    <n v="0.6"/>
  </r>
  <r>
    <x v="19"/>
    <s v="Spain"/>
    <s v="EMEA"/>
    <d v="2018-06-20T00:00:00"/>
    <s v="Iron"/>
    <s v="Roy Nunes"/>
    <n v="150"/>
    <n v="65"/>
    <n v="0.56666666666666698"/>
  </r>
  <r>
    <x v="17"/>
    <s v="Malaysia"/>
    <s v="APAC"/>
    <d v="2018-06-21T00:00:00"/>
    <s v="Microwave"/>
    <s v="Ian Baker"/>
    <n v="700"/>
    <n v="273"/>
    <n v="0.61"/>
  </r>
  <r>
    <x v="13"/>
    <s v="Australia"/>
    <s v="APAC"/>
    <d v="2018-06-22T00:00:00"/>
    <s v="Blender"/>
    <s v="Richard Manning"/>
    <n v="150"/>
    <n v="45"/>
    <n v="0.7"/>
  </r>
  <r>
    <x v="20"/>
    <s v="UK"/>
    <s v="EMEA"/>
    <d v="2018-06-23T00:00:00"/>
    <s v="Vacuum Cleaner"/>
    <s v="Claire Brooks"/>
    <n v="50"/>
    <n v="20"/>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866778-141E-4E98-8ADB-331866055B73}"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RANCH">
  <location ref="B48:C52" firstHeaderRow="1" firstDataRow="1" firstDataCol="1"/>
  <pivotFields count="7">
    <pivotField numFmtId="14" showAll="0"/>
    <pivotField showAll="0"/>
    <pivotField dataField="1" showAll="0"/>
    <pivotField showAll="0"/>
    <pivotField showAll="0"/>
    <pivotField axis="axisRow" showAll="0">
      <items count="4">
        <item x="0"/>
        <item x="1"/>
        <item x="2"/>
        <item t="default"/>
      </items>
    </pivotField>
    <pivotField showAll="0"/>
  </pivotFields>
  <rowFields count="1">
    <field x="5"/>
  </rowFields>
  <rowItems count="4">
    <i>
      <x/>
    </i>
    <i>
      <x v="1"/>
    </i>
    <i>
      <x v="2"/>
    </i>
    <i t="grand">
      <x/>
    </i>
  </rowItems>
  <colItems count="1">
    <i/>
  </colItems>
  <dataFields count="1">
    <dataField name="Sum of  Amount "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2E76E9-6455-460B-981A-9012606240E4}"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4:AJ26" firstHeaderRow="1" firstDataRow="1" firstDataCol="1"/>
  <pivotFields count="9">
    <pivotField axis="axisRow" showAll="0">
      <items count="22">
        <item x="5"/>
        <item x="11"/>
        <item x="0"/>
        <item x="12"/>
        <item x="6"/>
        <item x="7"/>
        <item x="18"/>
        <item x="16"/>
        <item x="17"/>
        <item x="10"/>
        <item x="20"/>
        <item x="19"/>
        <item x="4"/>
        <item x="2"/>
        <item x="14"/>
        <item x="8"/>
        <item x="3"/>
        <item x="13"/>
        <item x="15"/>
        <item x="1"/>
        <item x="9"/>
        <item t="default"/>
      </items>
    </pivotField>
    <pivotField showAll="0"/>
    <pivotField showAll="0"/>
    <pivotField numFmtId="14" showAll="0"/>
    <pivotField showAll="0"/>
    <pivotField showAll="0"/>
    <pivotField dataField="1" showAll="0"/>
    <pivotField showAll="0"/>
    <pivotField numFmtId="10" showAl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List Pric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15570EC3-BB50-4E2C-8D41-FA4B8B7309B4}" sourceName="Branch">
  <pivotTables>
    <pivotTable tabId="17" name="PivotTable1"/>
  </pivotTables>
  <data>
    <tabular pivotCacheId="158329464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91DE51EE-FA5E-4633-B7D5-1C2AD7CEC04F}" cache="Slicer_Branch" caption="Branch"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9576F0B-6487-43B6-8B40-37D563316774}" name="EmpData" displayName="EmpData" ref="A1:K16" totalsRowShown="0" headerRowDxfId="1" dataDxfId="2" headerRowBorderDxfId="15" tableBorderDxfId="16" totalsRowBorderDxfId="14">
  <autoFilter ref="A1:K16" xr:uid="{39576F0B-6487-43B6-8B40-37D563316774}"/>
  <tableColumns count="11">
    <tableColumn id="1" xr3:uid="{9A9275E5-CD37-4164-8240-F5344762C8D9}" name="Employee ID" dataDxfId="13"/>
    <tableColumn id="2" xr3:uid="{53B11BE1-0E90-4B28-9875-1153970D6631}" name="Full Name" dataDxfId="12"/>
    <tableColumn id="3" xr3:uid="{5807B1AF-28BF-4633-AEAC-9E9C6587AEE1}" name="Job Title" dataDxfId="11"/>
    <tableColumn id="4" xr3:uid="{D53110C8-E583-4B96-A366-12E38C62BCD5}" name="Department" dataDxfId="10"/>
    <tableColumn id="5" xr3:uid="{35D4AEEB-A0F0-44DB-9B07-8FBD3AD7F711}" name="Email" dataDxfId="9"/>
    <tableColumn id="6" xr3:uid="{845020CB-E3DA-4741-A08D-EA50BC006901}" name="Office Code" dataDxfId="8"/>
    <tableColumn id="7" xr3:uid="{C77D5AD1-14E5-485B-9ACD-A47659085BD8}" name="Phone Number" dataDxfId="7"/>
    <tableColumn id="8" xr3:uid="{28EB0D3D-30AC-4BF4-B382-DF27DDB8D809}" name="Hire Date" dataDxfId="6"/>
    <tableColumn id="9" xr3:uid="{AE8AEEE4-3A46-44BA-ACF2-05486D0B9D16}" name="Salary (USD)" dataDxfId="5"/>
    <tableColumn id="10" xr3:uid="{90812A72-5290-4BFE-9A7E-FDFD7CC096C9}" name="Performance Code" dataDxfId="4"/>
    <tableColumn id="11" xr3:uid="{8D2092FA-181D-4BEA-874B-480C13B15559}" name="Address" dataDxfId="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CFFAB2-7ED4-4322-A19D-7A53C0BEE77C}" name="Table1" displayName="Table1" ref="A1:F28" totalsRowShown="0" headerRowDxfId="103" dataDxfId="102">
  <tableColumns count="6">
    <tableColumn id="1" xr3:uid="{D167FD32-02F6-4EF8-A6E7-77E1823B49E6}" name="Movie Title" dataDxfId="101"/>
    <tableColumn id="2" xr3:uid="{E1F1795E-0E9C-4E64-BD95-884E1A7E93DC}" name="Category" dataDxfId="100"/>
    <tableColumn id="3" xr3:uid="{36348433-66D0-4718-BD99-BC657C9EA3B0}" name="Minutes" dataDxfId="99"/>
    <tableColumn id="4" xr3:uid="{B86E1FE3-A814-4F26-AC64-5EB7593E2E6F}" name="Year" dataDxfId="98"/>
    <tableColumn id="5" xr3:uid="{EB1FB40E-2591-418D-A638-53D4C967E140}" name="Lead Actor" dataDxfId="97"/>
    <tableColumn id="6" xr3:uid="{0102F9C1-1C9E-43D5-BECC-3B038C9BEDAF}" name="Rating" dataDxfId="96"/>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D52A61-40AA-46A4-80FE-84B161E3DE42}" name="Table2" displayName="Table2" ref="A1:F18" totalsRowShown="0" headerRowDxfId="95" dataDxfId="94">
  <autoFilter ref="A1:F18" xr:uid="{BCD52A61-40AA-46A4-80FE-84B161E3DE42}"/>
  <tableColumns count="6">
    <tableColumn id="1" xr3:uid="{C31BF04C-1594-431F-ACAF-E328280C6214}" name="Product Name" dataDxfId="93"/>
    <tableColumn id="2" xr3:uid="{EC9451F3-4848-457D-A3E8-ED98F3F6D3B7}" name="Category" dataDxfId="92"/>
    <tableColumn id="3" xr3:uid="{06EC8399-A399-4BFD-A2A6-AE8D10D74B1F}" name="Quantity Sold" dataDxfId="91"/>
    <tableColumn id="4" xr3:uid="{700A5CBA-C82A-49BE-97C9-9E6F078C4090}" name="Year" dataDxfId="90"/>
    <tableColumn id="5" xr3:uid="{B637F328-B991-4F0B-B70E-B6A8212FD292}" name="Salesperson" dataDxfId="89"/>
    <tableColumn id="6" xr3:uid="{399672F1-9448-4BD2-830C-31D444387102}" name="Rating" dataDxfId="88"/>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CAEE1E-0B3A-435D-A3BB-E202742BC1C4}" name="Table145" displayName="Table145" ref="A1:F28" totalsRowShown="0" headerRowDxfId="87" dataDxfId="86">
  <tableColumns count="6">
    <tableColumn id="1" xr3:uid="{449658A3-4898-4234-87EB-28D045FA145D}" name="Movie Title" dataDxfId="85"/>
    <tableColumn id="2" xr3:uid="{8F9F5A21-B534-42F6-97DB-DE039234ADD0}" name="Category" dataDxfId="84"/>
    <tableColumn id="3" xr3:uid="{B080D0BE-EB82-408D-A17D-67179F726CF0}" name="Minutes" dataDxfId="83"/>
    <tableColumn id="4" xr3:uid="{47668202-9002-481A-A636-F8646B7B2981}" name="Year" dataDxfId="82"/>
    <tableColumn id="5" xr3:uid="{4D09DCEE-506D-450E-B8C7-C3F22B023B34}" name="Lead Actor" dataDxfId="81"/>
    <tableColumn id="6" xr3:uid="{40104D0F-6899-4961-9B13-8A1AA9229F86}" name="Rating" dataDxfId="80"/>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1B1F636-309C-44BC-A7B4-5E8CB2816432}" name="Table5" displayName="Table5" ref="A1:G11" totalsRowShown="0" headerRowDxfId="79" dataDxfId="78">
  <autoFilter ref="A1:G11" xr:uid="{A1B1F636-309C-44BC-A7B4-5E8CB2816432}"/>
  <tableColumns count="7">
    <tableColumn id="1" xr3:uid="{EB894594-ACDE-4746-BC94-1D364AD26340}" name="ID" dataDxfId="77"/>
    <tableColumn id="2" xr3:uid="{CF231569-6AD4-43E9-ABCB-A1D1C2D5B36E}" name="Name" dataDxfId="76"/>
    <tableColumn id="3" xr3:uid="{F12547CE-CE36-4CC8-AD2C-3624F03A71B5}" name="Age" dataDxfId="75"/>
    <tableColumn id="4" xr3:uid="{71378B7A-884D-4D25-B47E-3F2983747708}" name="City" dataDxfId="74"/>
    <tableColumn id="5" xr3:uid="{9A2524F3-EA34-4D67-8AD4-AB70A8A26090}" name="Department" dataDxfId="73"/>
    <tableColumn id="6" xr3:uid="{2A12E4BC-B9AC-4835-AAD8-29E1CE3A78CC}" name="Salary" dataDxfId="72"/>
    <tableColumn id="7" xr3:uid="{8FCB5494-898E-476C-8FA1-F4D61B60CCAB}" name="Joining Date" dataDxfId="71"/>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1B5CF5-E5B5-4743-93B0-5DC33E2EA484}" name="Table54" displayName="Table54" ref="I2:O12" totalsRowShown="0" headerRowDxfId="46" dataDxfId="63">
  <autoFilter ref="I2:O12" xr:uid="{041B5CF5-E5B5-4743-93B0-5DC33E2EA484}"/>
  <sortState xmlns:xlrd2="http://schemas.microsoft.com/office/spreadsheetml/2017/richdata2" ref="I3:O12">
    <sortCondition ref="K3:K12"/>
  </sortState>
  <tableColumns count="7">
    <tableColumn id="1" xr3:uid="{5EB96890-9CB1-43CA-8D1A-FB3531DD8465}" name="ID" dataDxfId="70"/>
    <tableColumn id="2" xr3:uid="{79AE6EF0-5AA0-4D02-AF8A-5A954191A33E}" name="Name" dataDxfId="69"/>
    <tableColumn id="3" xr3:uid="{FB3609BE-5A4E-4634-997E-5C5EF95AF695}" name="Age" dataDxfId="68"/>
    <tableColumn id="4" xr3:uid="{F20FC21C-94B1-4D9E-A457-9259A89481C1}" name="City" dataDxfId="67"/>
    <tableColumn id="5" xr3:uid="{336D4E47-2F9D-4DCA-813C-793D295E1B24}" name="Department" dataDxfId="66"/>
    <tableColumn id="6" xr3:uid="{6AE8349E-A275-4AFC-9A53-0B9A0501CAFD}" name="Salary" dataDxfId="65"/>
    <tableColumn id="7" xr3:uid="{DD972994-E432-4764-A9EC-9AE713F78597}" name="Joining Date" dataDxfId="64"/>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FEAF5DC-1C23-45C8-99DB-7096D16C07E4}" name="Table57" displayName="Table57" ref="Q2:W12" totalsRowShown="0" headerRowDxfId="45" dataDxfId="55">
  <autoFilter ref="Q2:W12" xr:uid="{1FEAF5DC-1C23-45C8-99DB-7096D16C07E4}"/>
  <sortState xmlns:xlrd2="http://schemas.microsoft.com/office/spreadsheetml/2017/richdata2" ref="Q3:W12">
    <sortCondition descending="1" ref="V3:V12"/>
  </sortState>
  <tableColumns count="7">
    <tableColumn id="1" xr3:uid="{4F3AE14E-B135-4DE8-B70C-89C3E9E6E01B}" name="ID" dataDxfId="62"/>
    <tableColumn id="2" xr3:uid="{A999FC8B-2F1E-46E3-B515-F4D130B66D4B}" name="Name" dataDxfId="61"/>
    <tableColumn id="3" xr3:uid="{5D59DD12-CF37-432F-922E-6249198524CC}" name="Age" dataDxfId="60"/>
    <tableColumn id="4" xr3:uid="{E8A9DDD5-6A4A-4574-92CC-B2240FEADE25}" name="City" dataDxfId="59"/>
    <tableColumn id="5" xr3:uid="{E0E3242E-DB9C-4DFE-8749-50579252EFFE}" name="Department" dataDxfId="58"/>
    <tableColumn id="6" xr3:uid="{B69875A4-752B-473F-971F-F0B3BB8D405B}" name="Salary" dataDxfId="57"/>
    <tableColumn id="7" xr3:uid="{653CA8BA-0F0D-4960-85E2-B9135037F60B}" name="Joining Date" dataDxfId="56"/>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4D11816-DE22-49A1-8C5A-639735E539F2}" name="Table58" displayName="Table58" ref="Y2:AE12" totalsRowShown="0" headerRowDxfId="44" dataDxfId="47">
  <autoFilter ref="Y2:AE12" xr:uid="{A4D11816-DE22-49A1-8C5A-639735E539F2}"/>
  <sortState xmlns:xlrd2="http://schemas.microsoft.com/office/spreadsheetml/2017/richdata2" ref="Y3:AE12">
    <sortCondition descending="1" ref="AE3:AE12"/>
  </sortState>
  <tableColumns count="7">
    <tableColumn id="1" xr3:uid="{C5B639A6-A775-47B0-9BFC-87642A5C662F}" name="ID" dataDxfId="54"/>
    <tableColumn id="2" xr3:uid="{9F24A04A-2529-4989-AD89-DD2F4EC1A882}" name="Name" dataDxfId="53"/>
    <tableColumn id="3" xr3:uid="{FB0E3177-EEB4-46FA-BF10-0CBDA8618AF2}" name="Age" dataDxfId="52"/>
    <tableColumn id="4" xr3:uid="{8660E3A2-995D-4FFB-8088-AC5BB7AA3950}" name="City" dataDxfId="51"/>
    <tableColumn id="5" xr3:uid="{39501EE3-0CA9-4AAF-9F83-E6C2F2B43F73}" name="Department" dataDxfId="50"/>
    <tableColumn id="6" xr3:uid="{55538B9B-5F77-4B20-8655-2FC497B7AEC2}" name="Salary" dataDxfId="49"/>
    <tableColumn id="7" xr3:uid="{8B315068-AC07-4A82-8A8D-B1D4588FCF99}" name="Joining Date" dataDxfId="48"/>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0BD17D0-85FE-4848-98AF-5BE08206C2A4}" name="Table510" displayName="Table510" ref="AI10:AO20" totalsRowShown="0" headerRowDxfId="19" dataDxfId="43">
  <autoFilter ref="AI10:AO20" xr:uid="{C0BD17D0-85FE-4848-98AF-5BE08206C2A4}">
    <filterColumn colId="4">
      <filters>
        <filter val="IT"/>
      </filters>
    </filterColumn>
  </autoFilter>
  <tableColumns count="7">
    <tableColumn id="1" xr3:uid="{F788E1B7-3A32-4556-914D-BAAE8194A2A1}" name="ID" dataDxfId="42"/>
    <tableColumn id="2" xr3:uid="{F6335208-949C-4250-8BB4-3B36F70FC721}" name="Name" dataDxfId="41"/>
    <tableColumn id="3" xr3:uid="{908DD502-776B-4935-9BE0-34674FB98C12}" name="Age" dataDxfId="40"/>
    <tableColumn id="4" xr3:uid="{E25503EB-5D0B-4C97-B5CA-2B5DE781F851}" name="City" dataDxfId="39"/>
    <tableColumn id="5" xr3:uid="{735239D5-8EA4-40AF-9517-8EA561C6C8FB}" name="Department" dataDxfId="38"/>
    <tableColumn id="6" xr3:uid="{2FF6C609-D992-4690-9446-7016E8E97648}" name="Salary" dataDxfId="37"/>
    <tableColumn id="7" xr3:uid="{923A7599-0A9E-4ABA-A90D-1B6544D0B534}" name="Joining Date" dataDxfId="36"/>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D814EB0-DFB1-49F9-B872-87077675D0EE}" name="Table511" displayName="Table511" ref="AS23:AY33" totalsRowShown="0" headerRowDxfId="18" dataDxfId="35">
  <autoFilter ref="AS23:AY33" xr:uid="{AD814EB0-DFB1-49F9-B872-87077675D0EE}">
    <filterColumn colId="3">
      <filters>
        <filter val="Miami"/>
      </filters>
    </filterColumn>
  </autoFilter>
  <tableColumns count="7">
    <tableColumn id="1" xr3:uid="{67F41260-FD11-41E4-AF9E-F8DF1CF52E37}" name="ID" dataDxfId="34"/>
    <tableColumn id="2" xr3:uid="{761654CE-5FBF-4191-AB30-27E3484EE858}" name="Name" dataDxfId="33"/>
    <tableColumn id="3" xr3:uid="{3EDFC718-1AC8-4A02-B107-A883151F7DBB}" name="Age" dataDxfId="32"/>
    <tableColumn id="4" xr3:uid="{99D8ECB4-B6AB-46E6-8D58-8A2C4CDB2460}" name="City" dataDxfId="31"/>
    <tableColumn id="5" xr3:uid="{E6355E62-2C54-41D3-841B-A7264A06A663}" name="Department" dataDxfId="30"/>
    <tableColumn id="6" xr3:uid="{338C4F7C-14E7-4E10-8A1D-F73173EE00D7}" name="Salary" dataDxfId="29"/>
    <tableColumn id="7" xr3:uid="{CF29E22D-D0D0-41BA-8B32-42FDA6E5EAD2}" name="Joining Date" dataDxfId="28"/>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B347BA3-3566-4562-A6C8-1BB2DB1A35FA}" name="Table512" displayName="Table512" ref="BA36:BG46" totalsRowShown="0" headerRowDxfId="17" dataDxfId="27">
  <tableColumns count="7">
    <tableColumn id="1" xr3:uid="{D6528195-70CB-49DC-AC95-DF10D130B6BF}" name="ID" dataDxfId="26"/>
    <tableColumn id="2" xr3:uid="{6C1B12B0-06C3-47CF-9264-C177239AB8B9}" name="Name" dataDxfId="25"/>
    <tableColumn id="3" xr3:uid="{D89300F4-2FAA-43AD-B72E-C3BF48833132}" name="Age" dataDxfId="24"/>
    <tableColumn id="4" xr3:uid="{FD116E7F-5AA2-4AAA-AFC3-9473F58E02C6}" name="City" dataDxfId="23"/>
    <tableColumn id="5" xr3:uid="{48F5F77D-08B8-4F45-9D5E-974C0FE5DE7C}" name="Department" dataDxfId="22"/>
    <tableColumn id="6" xr3:uid="{B4F7811A-5DD2-4516-836E-0F2ADE5F696C}" name="Salary" dataDxfId="21"/>
    <tableColumn id="7" xr3:uid="{19B9F7AF-D055-4FAA-A815-AA77A0E12C7F}" name="Joining Date" dataDxfId="2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table" Target="../tables/table5.xml"/><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C0565-944E-4A39-9EA6-800733AC0FE5}">
  <sheetPr>
    <tabColor theme="3" tint="0.749992370372631"/>
  </sheetPr>
  <dimension ref="A1:H43"/>
  <sheetViews>
    <sheetView zoomScale="56" workbookViewId="0">
      <selection activeCell="E38" sqref="E38"/>
    </sheetView>
  </sheetViews>
  <sheetFormatPr defaultRowHeight="14.4"/>
  <cols>
    <col min="3" max="3" width="29.6640625" customWidth="1"/>
    <col min="4" max="4" width="19.44140625" bestFit="1" customWidth="1"/>
    <col min="5" max="5" width="20.6640625" bestFit="1" customWidth="1"/>
    <col min="6" max="6" width="21.6640625" bestFit="1" customWidth="1"/>
  </cols>
  <sheetData>
    <row r="1" spans="1:8" ht="23.4">
      <c r="A1" s="96" t="s">
        <v>737</v>
      </c>
      <c r="B1" s="75"/>
      <c r="C1" s="75"/>
      <c r="D1" s="75"/>
      <c r="E1" s="75"/>
      <c r="F1" s="75"/>
      <c r="G1" s="75"/>
      <c r="H1" s="75"/>
    </row>
    <row r="2" spans="1:8">
      <c r="A2" s="95" t="s">
        <v>736</v>
      </c>
      <c r="B2" s="94" t="s">
        <v>735</v>
      </c>
      <c r="C2" s="75"/>
      <c r="D2" s="81" t="s">
        <v>734</v>
      </c>
      <c r="E2" s="81" t="s">
        <v>733</v>
      </c>
      <c r="G2" s="75"/>
      <c r="H2" s="75"/>
    </row>
    <row r="3" spans="1:8">
      <c r="A3" s="80" t="s">
        <v>732</v>
      </c>
      <c r="B3" s="79">
        <v>30</v>
      </c>
      <c r="C3" s="93" t="s">
        <v>731</v>
      </c>
      <c r="D3" s="92">
        <v>4</v>
      </c>
      <c r="E3" s="91">
        <v>4</v>
      </c>
      <c r="G3" s="75"/>
      <c r="H3" s="75"/>
    </row>
    <row r="4" spans="1:8">
      <c r="A4" s="80" t="s">
        <v>730</v>
      </c>
      <c r="B4" s="79">
        <v>30</v>
      </c>
      <c r="C4" s="90" t="s">
        <v>729</v>
      </c>
      <c r="D4" s="89"/>
      <c r="E4" s="88"/>
      <c r="G4" s="75"/>
      <c r="H4" s="75"/>
    </row>
    <row r="5" spans="1:8">
      <c r="A5" s="80" t="s">
        <v>728</v>
      </c>
      <c r="B5" s="79">
        <v>20</v>
      </c>
      <c r="C5" s="75"/>
      <c r="D5" s="75"/>
      <c r="E5" s="75"/>
      <c r="F5" s="75"/>
      <c r="G5" s="75"/>
      <c r="H5" s="75"/>
    </row>
    <row r="6" spans="1:8">
      <c r="A6" s="80" t="s">
        <v>727</v>
      </c>
      <c r="B6" s="79">
        <v>45</v>
      </c>
      <c r="C6" s="200" t="s">
        <v>971</v>
      </c>
      <c r="D6" s="201"/>
      <c r="E6" s="201"/>
      <c r="F6" s="201"/>
      <c r="G6" s="75"/>
      <c r="H6" s="75"/>
    </row>
    <row r="7" spans="1:8">
      <c r="A7" s="80" t="s">
        <v>726</v>
      </c>
      <c r="B7" s="79">
        <v>10</v>
      </c>
      <c r="C7" s="200"/>
      <c r="D7" s="201"/>
      <c r="E7" s="201"/>
      <c r="F7" s="201"/>
      <c r="G7" s="75"/>
      <c r="H7" s="75"/>
    </row>
    <row r="8" spans="1:8">
      <c r="A8" s="80" t="s">
        <v>725</v>
      </c>
      <c r="B8" s="79">
        <v>15</v>
      </c>
      <c r="C8" s="75"/>
      <c r="D8" s="75"/>
      <c r="E8" s="75"/>
      <c r="F8" s="75"/>
      <c r="G8" s="75"/>
      <c r="H8" s="75"/>
    </row>
    <row r="9" spans="1:8">
      <c r="A9" s="78" t="s">
        <v>724</v>
      </c>
      <c r="B9" s="77">
        <v>25</v>
      </c>
      <c r="C9" s="87"/>
      <c r="D9" s="75"/>
      <c r="E9" s="75"/>
      <c r="F9" s="75"/>
      <c r="G9" s="75"/>
      <c r="H9" s="75"/>
    </row>
    <row r="10" spans="1:8">
      <c r="A10" s="75"/>
      <c r="B10" s="75"/>
      <c r="C10" s="75"/>
      <c r="D10" s="75"/>
      <c r="E10" s="75"/>
      <c r="F10" s="75"/>
      <c r="G10" s="75"/>
      <c r="H10" s="75"/>
    </row>
    <row r="11" spans="1:8">
      <c r="A11" s="75"/>
      <c r="B11" s="75"/>
      <c r="C11" s="75"/>
      <c r="D11" s="75"/>
      <c r="E11" s="75"/>
      <c r="F11" s="75"/>
      <c r="G11" s="75"/>
      <c r="H11" s="75"/>
    </row>
    <row r="12" spans="1:8" ht="23.4">
      <c r="A12" s="86" t="s">
        <v>723</v>
      </c>
      <c r="B12" s="75"/>
      <c r="C12" s="75"/>
      <c r="D12" s="75"/>
      <c r="E12" s="75"/>
      <c r="F12" s="75"/>
      <c r="G12" s="75"/>
      <c r="H12" s="75"/>
    </row>
    <row r="13" spans="1:8">
      <c r="A13" s="76"/>
      <c r="B13" s="85"/>
      <c r="C13" s="81" t="s">
        <v>722</v>
      </c>
      <c r="D13" s="74"/>
      <c r="E13" s="74"/>
      <c r="F13" s="74"/>
      <c r="G13" s="75"/>
      <c r="H13" s="75"/>
    </row>
    <row r="14" spans="1:8">
      <c r="A14" s="76"/>
      <c r="B14" s="85"/>
      <c r="C14" s="74"/>
      <c r="D14" s="74"/>
      <c r="E14" s="74"/>
      <c r="F14" s="74"/>
      <c r="G14" s="75"/>
      <c r="H14" s="75"/>
    </row>
    <row r="15" spans="1:8">
      <c r="A15" s="76"/>
      <c r="B15" s="85"/>
      <c r="C15" s="74" t="s">
        <v>721</v>
      </c>
      <c r="D15" s="163" t="s">
        <v>121</v>
      </c>
      <c r="E15" s="164" t="s">
        <v>122</v>
      </c>
      <c r="F15" s="163" t="s">
        <v>927</v>
      </c>
      <c r="G15" s="75"/>
      <c r="H15" s="75"/>
    </row>
    <row r="16" spans="1:8">
      <c r="A16" s="76"/>
      <c r="B16" s="85"/>
      <c r="C16" s="74" t="s">
        <v>720</v>
      </c>
      <c r="D16" s="165" t="s">
        <v>928</v>
      </c>
      <c r="E16" s="166">
        <v>33</v>
      </c>
      <c r="F16" s="165" t="s">
        <v>929</v>
      </c>
      <c r="G16" s="75"/>
      <c r="H16" s="75"/>
    </row>
    <row r="17" spans="1:8">
      <c r="A17" s="76"/>
      <c r="B17" s="85"/>
      <c r="C17" s="74" t="s">
        <v>719</v>
      </c>
      <c r="D17" s="165" t="s">
        <v>930</v>
      </c>
      <c r="E17" s="166">
        <v>27</v>
      </c>
      <c r="F17" s="165" t="s">
        <v>931</v>
      </c>
      <c r="G17" s="75"/>
      <c r="H17" s="75"/>
    </row>
    <row r="18" spans="1:8">
      <c r="A18" s="84"/>
      <c r="B18" s="83"/>
      <c r="C18" s="74" t="s">
        <v>718</v>
      </c>
      <c r="D18" s="165" t="s">
        <v>705</v>
      </c>
      <c r="E18" s="166">
        <v>33</v>
      </c>
      <c r="F18" s="165" t="s">
        <v>932</v>
      </c>
      <c r="G18" s="75"/>
      <c r="H18" s="75"/>
    </row>
    <row r="19" spans="1:8">
      <c r="A19" s="75"/>
      <c r="B19" s="75"/>
      <c r="C19" s="74" t="s">
        <v>717</v>
      </c>
      <c r="D19" s="165" t="s">
        <v>696</v>
      </c>
      <c r="E19" s="166">
        <v>28</v>
      </c>
      <c r="F19" s="165" t="s">
        <v>933</v>
      </c>
      <c r="G19" s="75"/>
      <c r="H19" s="75"/>
    </row>
    <row r="20" spans="1:8">
      <c r="A20" s="75"/>
      <c r="B20" s="75"/>
      <c r="C20" s="74" t="s">
        <v>716</v>
      </c>
      <c r="D20" s="165" t="s">
        <v>934</v>
      </c>
      <c r="E20" s="166">
        <v>22</v>
      </c>
      <c r="F20" s="165" t="s">
        <v>935</v>
      </c>
      <c r="G20" s="75"/>
      <c r="H20" s="75"/>
    </row>
    <row r="21" spans="1:8">
      <c r="A21" s="75"/>
      <c r="B21" s="75"/>
      <c r="C21" s="74"/>
      <c r="D21" s="74"/>
      <c r="E21" s="74"/>
      <c r="F21" s="74"/>
      <c r="G21" s="75"/>
      <c r="H21" s="75"/>
    </row>
    <row r="22" spans="1:8">
      <c r="A22" s="75"/>
      <c r="B22" s="75"/>
      <c r="C22" s="74"/>
      <c r="D22" s="74"/>
      <c r="E22" s="74"/>
      <c r="F22" s="74"/>
      <c r="G22" s="75"/>
      <c r="H22" s="75"/>
    </row>
    <row r="23" spans="1:8">
      <c r="A23" s="75"/>
      <c r="B23" s="75"/>
      <c r="C23" s="74"/>
      <c r="D23" s="74"/>
      <c r="E23" s="74"/>
      <c r="F23" s="74"/>
      <c r="G23" s="75"/>
      <c r="H23" s="75"/>
    </row>
    <row r="24" spans="1:8">
      <c r="A24" s="75"/>
      <c r="B24" s="75"/>
      <c r="C24" s="74"/>
      <c r="D24" s="74"/>
      <c r="E24" s="74"/>
      <c r="F24" s="74"/>
      <c r="G24" s="75"/>
      <c r="H24" s="75"/>
    </row>
    <row r="25" spans="1:8">
      <c r="A25" s="75"/>
      <c r="B25" s="75"/>
      <c r="C25" s="74"/>
      <c r="D25" s="74"/>
      <c r="E25" s="74"/>
      <c r="F25" s="74"/>
      <c r="G25" s="75"/>
      <c r="H25" s="75"/>
    </row>
    <row r="26" spans="1:8" ht="25.8">
      <c r="A26" s="82" t="s">
        <v>715</v>
      </c>
      <c r="B26" s="75"/>
      <c r="C26" s="75"/>
      <c r="D26" s="75"/>
      <c r="E26" s="75"/>
      <c r="F26" s="75"/>
      <c r="G26" s="75"/>
      <c r="H26" s="75"/>
    </row>
    <row r="27" spans="1:8">
      <c r="A27" s="80"/>
      <c r="B27" s="79"/>
      <c r="C27" s="81" t="s">
        <v>714</v>
      </c>
      <c r="D27" s="74"/>
      <c r="E27" s="74"/>
      <c r="F27" s="74"/>
      <c r="G27" s="74"/>
      <c r="H27" s="74"/>
    </row>
    <row r="28" spans="1:8">
      <c r="A28" s="80"/>
      <c r="B28" s="79"/>
      <c r="C28" s="74"/>
      <c r="D28" s="74"/>
      <c r="E28" s="74"/>
      <c r="F28" s="74"/>
      <c r="G28" s="74"/>
      <c r="H28" s="74"/>
    </row>
    <row r="29" spans="1:8">
      <c r="A29" s="80"/>
      <c r="B29" s="79"/>
      <c r="C29" s="74"/>
      <c r="D29" s="74"/>
      <c r="E29" s="167" t="s">
        <v>121</v>
      </c>
      <c r="F29" s="167" t="s">
        <v>713</v>
      </c>
      <c r="G29" s="167" t="s">
        <v>712</v>
      </c>
      <c r="H29" s="74"/>
    </row>
    <row r="30" spans="1:8">
      <c r="A30" s="80"/>
      <c r="B30" s="79"/>
      <c r="C30" s="74"/>
      <c r="D30" s="74"/>
      <c r="E30" s="166" t="s">
        <v>693</v>
      </c>
      <c r="F30" s="166" t="s">
        <v>711</v>
      </c>
      <c r="G30" s="166" t="s">
        <v>672</v>
      </c>
      <c r="H30" s="74"/>
    </row>
    <row r="31" spans="1:8">
      <c r="A31" s="80"/>
      <c r="B31" s="79"/>
      <c r="C31" s="74"/>
      <c r="D31" s="74"/>
      <c r="E31" s="166" t="s">
        <v>710</v>
      </c>
      <c r="F31" s="166" t="s">
        <v>709</v>
      </c>
      <c r="G31" s="166" t="s">
        <v>708</v>
      </c>
      <c r="H31" s="74"/>
    </row>
    <row r="32" spans="1:8">
      <c r="A32" s="80"/>
      <c r="B32" s="79"/>
      <c r="C32" s="74"/>
      <c r="D32" s="74"/>
      <c r="E32" s="166" t="s">
        <v>689</v>
      </c>
      <c r="F32" s="166" t="s">
        <v>128</v>
      </c>
      <c r="G32" s="166" t="s">
        <v>671</v>
      </c>
      <c r="H32" s="74"/>
    </row>
    <row r="33" spans="1:8">
      <c r="A33" s="78"/>
      <c r="B33" s="77"/>
      <c r="C33" s="74"/>
      <c r="D33" s="74"/>
      <c r="E33" s="166" t="s">
        <v>707</v>
      </c>
      <c r="F33" s="166" t="s">
        <v>691</v>
      </c>
      <c r="G33" s="166" t="s">
        <v>706</v>
      </c>
      <c r="H33" s="74"/>
    </row>
    <row r="34" spans="1:8">
      <c r="A34" s="78"/>
      <c r="B34" s="77"/>
      <c r="C34" s="74"/>
      <c r="D34" s="74"/>
      <c r="E34" s="166" t="s">
        <v>705</v>
      </c>
      <c r="F34" s="166" t="s">
        <v>704</v>
      </c>
      <c r="G34" s="166" t="s">
        <v>703</v>
      </c>
      <c r="H34" s="74"/>
    </row>
    <row r="35" spans="1:8">
      <c r="A35" s="76"/>
      <c r="B35" s="75"/>
      <c r="C35" s="74"/>
      <c r="D35" s="74"/>
      <c r="E35" s="166" t="s">
        <v>702</v>
      </c>
      <c r="F35" s="166" t="s">
        <v>701</v>
      </c>
      <c r="G35" s="166" t="s">
        <v>700</v>
      </c>
      <c r="H35" s="74"/>
    </row>
    <row r="36" spans="1:8">
      <c r="A36" s="75"/>
      <c r="B36" s="75"/>
      <c r="C36" s="74"/>
      <c r="D36" s="74"/>
      <c r="E36" s="166" t="s">
        <v>699</v>
      </c>
      <c r="F36" s="166" t="s">
        <v>698</v>
      </c>
      <c r="G36" s="166" t="s">
        <v>697</v>
      </c>
      <c r="H36" s="74"/>
    </row>
    <row r="37" spans="1:8">
      <c r="A37" s="75"/>
      <c r="B37" s="75"/>
      <c r="C37" s="74"/>
      <c r="D37" s="74"/>
      <c r="E37" s="166" t="s">
        <v>696</v>
      </c>
      <c r="F37" s="166" t="s">
        <v>695</v>
      </c>
      <c r="G37" s="166" t="s">
        <v>694</v>
      </c>
      <c r="H37" s="74"/>
    </row>
    <row r="38" spans="1:8">
      <c r="A38" s="75"/>
      <c r="B38" s="75"/>
      <c r="C38" s="74"/>
      <c r="D38" s="74"/>
      <c r="E38" s="166" t="s">
        <v>692</v>
      </c>
      <c r="F38" s="166" t="s">
        <v>691</v>
      </c>
      <c r="G38" s="166" t="s">
        <v>690</v>
      </c>
      <c r="H38" s="74"/>
    </row>
    <row r="39" spans="1:8">
      <c r="A39" s="75"/>
      <c r="B39" s="75"/>
      <c r="C39" s="74"/>
      <c r="D39" s="74"/>
      <c r="E39" s="166" t="s">
        <v>689</v>
      </c>
      <c r="F39" s="166" t="s">
        <v>688</v>
      </c>
      <c r="G39" s="166" t="s">
        <v>687</v>
      </c>
      <c r="H39" s="74"/>
    </row>
    <row r="40" spans="1:8">
      <c r="A40" s="75"/>
      <c r="B40" s="75"/>
      <c r="C40" s="74"/>
      <c r="D40" s="74"/>
      <c r="E40" s="166" t="s">
        <v>684</v>
      </c>
      <c r="F40" s="166" t="s">
        <v>686</v>
      </c>
      <c r="G40" s="166" t="s">
        <v>685</v>
      </c>
      <c r="H40" s="74"/>
    </row>
    <row r="41" spans="1:8">
      <c r="A41" s="75"/>
      <c r="B41" s="75"/>
      <c r="C41" s="74"/>
      <c r="D41" s="74"/>
      <c r="E41" s="166" t="s">
        <v>684</v>
      </c>
      <c r="F41" s="166" t="s">
        <v>683</v>
      </c>
      <c r="G41" s="166" t="s">
        <v>682</v>
      </c>
      <c r="H41" s="74"/>
    </row>
    <row r="42" spans="1:8">
      <c r="A42" s="75"/>
      <c r="B42" s="75"/>
      <c r="C42" s="74"/>
      <c r="D42" s="74"/>
      <c r="H42" s="74"/>
    </row>
    <row r="43" spans="1:8">
      <c r="A43" s="75"/>
      <c r="B43" s="75"/>
      <c r="C43" s="74"/>
      <c r="D43" s="74"/>
      <c r="E43" s="74"/>
      <c r="F43" s="74"/>
      <c r="G43" s="74"/>
      <c r="H43" s="74"/>
    </row>
  </sheetData>
  <mergeCells count="1">
    <mergeCell ref="C6:F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8031-7D60-4652-8F0F-6B68CC302691}">
  <sheetPr>
    <tabColor theme="3" tint="0.749992370372631"/>
  </sheetPr>
  <dimension ref="A1:K52"/>
  <sheetViews>
    <sheetView topLeftCell="A2" zoomScale="51" zoomScaleNormal="100" workbookViewId="0">
      <selection activeCell="E11" sqref="E11"/>
    </sheetView>
  </sheetViews>
  <sheetFormatPr defaultRowHeight="14.4"/>
  <cols>
    <col min="1" max="1" width="52.6640625" bestFit="1" customWidth="1"/>
    <col min="2" max="2" width="11.44140625" bestFit="1" customWidth="1"/>
    <col min="3" max="3" width="14.21875" bestFit="1" customWidth="1"/>
    <col min="4" max="4" width="15.33203125" bestFit="1" customWidth="1"/>
    <col min="5" max="5" width="29.44140625" bestFit="1" customWidth="1"/>
    <col min="6" max="6" width="14" customWidth="1"/>
    <col min="7" max="7" width="18.88671875" bestFit="1" customWidth="1"/>
    <col min="8" max="8" width="14.6640625" customWidth="1"/>
  </cols>
  <sheetData>
    <row r="1" spans="1:11" ht="25.8">
      <c r="A1" s="82" t="s">
        <v>790</v>
      </c>
      <c r="B1" s="75"/>
      <c r="C1" s="75"/>
      <c r="D1" s="75"/>
      <c r="E1" s="75"/>
      <c r="F1" s="75"/>
      <c r="G1" s="75"/>
      <c r="H1" s="75"/>
      <c r="I1" s="75"/>
      <c r="J1" s="75"/>
      <c r="K1" s="75"/>
    </row>
    <row r="2" spans="1:11">
      <c r="A2" s="75" t="s">
        <v>789</v>
      </c>
      <c r="B2" s="75"/>
      <c r="C2" s="75"/>
      <c r="D2" s="75"/>
      <c r="E2" s="75"/>
      <c r="F2" s="75"/>
      <c r="G2" s="75"/>
      <c r="H2" s="75"/>
      <c r="I2" s="75"/>
      <c r="J2" s="75"/>
      <c r="K2" s="75"/>
    </row>
    <row r="3" spans="1:11">
      <c r="A3" s="109" t="s">
        <v>788</v>
      </c>
      <c r="B3" s="109" t="s">
        <v>909</v>
      </c>
      <c r="C3" s="109" t="s">
        <v>910</v>
      </c>
      <c r="D3" s="109" t="s">
        <v>911</v>
      </c>
      <c r="F3" s="75"/>
      <c r="G3" s="75"/>
      <c r="H3" s="75"/>
      <c r="I3" s="75"/>
      <c r="J3" s="75"/>
    </row>
    <row r="4" spans="1:11">
      <c r="A4" s="111">
        <v>100</v>
      </c>
      <c r="B4" s="111" t="s">
        <v>912</v>
      </c>
      <c r="C4" s="111" t="e">
        <f>A9/0</f>
        <v>#DIV/0!</v>
      </c>
      <c r="D4" s="229">
        <f>A9/1</f>
        <v>45</v>
      </c>
      <c r="F4" s="75"/>
      <c r="G4" s="75"/>
      <c r="H4" s="75"/>
      <c r="I4" s="75"/>
      <c r="J4" s="75"/>
    </row>
    <row r="5" spans="1:11">
      <c r="A5" s="111">
        <v>140</v>
      </c>
      <c r="B5" s="111" t="s">
        <v>913</v>
      </c>
      <c r="C5" s="111" t="e" cm="1">
        <f t="array" aca="1" ref="C5" ca="1">SMM(A1:B1)</f>
        <v>#NAME?</v>
      </c>
      <c r="D5" s="229">
        <f>SUM(A4:A9)</f>
        <v>580</v>
      </c>
      <c r="F5" s="75"/>
      <c r="G5" s="75"/>
      <c r="H5" s="75"/>
      <c r="I5" s="75"/>
      <c r="J5" s="75"/>
    </row>
    <row r="6" spans="1:11">
      <c r="A6" s="111">
        <v>50</v>
      </c>
      <c r="B6" s="111" t="s">
        <v>914</v>
      </c>
      <c r="C6" s="111" t="e">
        <f>A4 +#REF!</f>
        <v>#REF!</v>
      </c>
      <c r="D6" s="230">
        <f>A4+10</f>
        <v>110</v>
      </c>
      <c r="F6" s="75"/>
      <c r="G6" s="75"/>
      <c r="H6" s="75"/>
      <c r="I6" s="75"/>
      <c r="J6" s="75"/>
    </row>
    <row r="7" spans="1:11">
      <c r="A7" s="111">
        <v>150</v>
      </c>
      <c r="B7" s="111" t="s">
        <v>915</v>
      </c>
      <c r="C7" s="111" t="e">
        <f>A1 + "Dog"</f>
        <v>#VALUE!</v>
      </c>
      <c r="D7" s="229">
        <f>A4+2</f>
        <v>102</v>
      </c>
      <c r="F7" s="75"/>
      <c r="G7" s="75"/>
      <c r="H7" s="75"/>
      <c r="I7" s="75"/>
      <c r="J7" s="75"/>
    </row>
    <row r="8" spans="1:11">
      <c r="A8" s="111">
        <v>95</v>
      </c>
      <c r="B8" s="111" t="s">
        <v>916</v>
      </c>
      <c r="C8" s="111" t="e">
        <f>SQRT(-9)</f>
        <v>#NUM!</v>
      </c>
      <c r="D8" s="229">
        <f>SQRT(9)</f>
        <v>3</v>
      </c>
      <c r="F8" s="75"/>
      <c r="G8" s="75"/>
      <c r="H8" s="75"/>
      <c r="I8" s="75"/>
      <c r="J8" s="75"/>
    </row>
    <row r="9" spans="1:11">
      <c r="A9" s="111">
        <v>45</v>
      </c>
      <c r="B9" s="111" t="s">
        <v>917</v>
      </c>
      <c r="C9" s="111" t="e">
        <f>AVERAGE(B1:B3)</f>
        <v>#DIV/0!</v>
      </c>
      <c r="D9" s="229">
        <f>AVERAGE(A7:A9)</f>
        <v>96.666666666666671</v>
      </c>
      <c r="F9" s="75"/>
      <c r="G9" s="75"/>
      <c r="H9" s="75"/>
      <c r="I9" s="75"/>
      <c r="J9" s="75"/>
    </row>
    <row r="10" spans="1:11">
      <c r="A10" t="s">
        <v>918</v>
      </c>
      <c r="B10" s="153"/>
      <c r="C10" s="153"/>
      <c r="D10" s="153"/>
      <c r="F10" s="75"/>
      <c r="G10" s="75"/>
      <c r="H10" s="75"/>
      <c r="I10" s="75"/>
      <c r="J10" s="75"/>
    </row>
    <row r="11" spans="1:11">
      <c r="A11" s="75"/>
      <c r="B11" s="75"/>
      <c r="C11" s="75"/>
      <c r="D11" s="75"/>
      <c r="E11" s="75"/>
      <c r="F11" s="75"/>
      <c r="G11" s="75"/>
      <c r="H11" s="75"/>
      <c r="I11" s="75"/>
      <c r="J11" s="75"/>
    </row>
    <row r="12" spans="1:11" ht="28.8">
      <c r="A12" s="110" t="s">
        <v>787</v>
      </c>
      <c r="B12" s="75"/>
      <c r="C12" s="75" t="s">
        <v>786</v>
      </c>
      <c r="D12" s="75"/>
      <c r="E12" s="75"/>
      <c r="F12" s="75"/>
      <c r="G12" s="75"/>
      <c r="H12" s="75"/>
      <c r="I12" s="75"/>
      <c r="J12" s="75"/>
      <c r="K12" s="75"/>
    </row>
    <row r="13" spans="1:11">
      <c r="A13" s="109" t="s">
        <v>784</v>
      </c>
      <c r="B13" s="109" t="s">
        <v>581</v>
      </c>
      <c r="C13" s="109" t="s">
        <v>785</v>
      </c>
      <c r="D13" s="109" t="s">
        <v>783</v>
      </c>
      <c r="E13" s="75"/>
      <c r="F13" s="109" t="s">
        <v>784</v>
      </c>
      <c r="G13" s="109" t="s">
        <v>783</v>
      </c>
      <c r="H13" s="75"/>
      <c r="I13" s="75"/>
      <c r="J13" s="75"/>
      <c r="K13" s="75"/>
    </row>
    <row r="14" spans="1:11">
      <c r="A14" s="108" t="s">
        <v>782</v>
      </c>
      <c r="B14" s="108" t="s">
        <v>767</v>
      </c>
      <c r="C14" s="108" t="s">
        <v>772</v>
      </c>
      <c r="D14" s="108" t="s">
        <v>765</v>
      </c>
      <c r="E14" s="75"/>
      <c r="F14" s="108" t="s">
        <v>781</v>
      </c>
      <c r="G14" s="231" t="str">
        <f>_xlfn.XLOOKUP(I14, A14:A23, D14:D23, "Employee Not Found")</f>
        <v>Employee Not Found</v>
      </c>
      <c r="H14" s="75"/>
      <c r="I14" s="75"/>
      <c r="J14" s="75"/>
      <c r="K14" s="75"/>
    </row>
    <row r="15" spans="1:11">
      <c r="A15" s="108" t="s">
        <v>780</v>
      </c>
      <c r="B15" s="108" t="s">
        <v>767</v>
      </c>
      <c r="C15" s="108" t="s">
        <v>772</v>
      </c>
      <c r="D15" s="108" t="s">
        <v>765</v>
      </c>
      <c r="E15" s="75"/>
      <c r="F15" s="75"/>
      <c r="G15" s="75"/>
      <c r="H15" s="75"/>
      <c r="I15" s="75"/>
      <c r="J15" s="75"/>
      <c r="K15" s="75"/>
    </row>
    <row r="16" spans="1:11">
      <c r="A16" s="108" t="s">
        <v>779</v>
      </c>
      <c r="B16" s="108" t="s">
        <v>770</v>
      </c>
      <c r="C16" s="108" t="s">
        <v>766</v>
      </c>
      <c r="D16" s="108" t="s">
        <v>769</v>
      </c>
      <c r="E16" s="75"/>
      <c r="F16" s="75"/>
      <c r="G16" s="75"/>
      <c r="H16" s="75"/>
      <c r="I16" s="75"/>
      <c r="J16" s="75"/>
      <c r="K16" s="75"/>
    </row>
    <row r="17" spans="1:11">
      <c r="A17" s="108" t="s">
        <v>778</v>
      </c>
      <c r="B17" s="108" t="s">
        <v>770</v>
      </c>
      <c r="C17" s="108" t="s">
        <v>766</v>
      </c>
      <c r="D17" s="108" t="s">
        <v>769</v>
      </c>
      <c r="E17" s="75"/>
      <c r="F17" s="75"/>
      <c r="G17" s="75"/>
      <c r="H17" s="75"/>
      <c r="I17" s="75"/>
      <c r="J17" s="75"/>
      <c r="K17" s="75"/>
    </row>
    <row r="18" spans="1:11">
      <c r="A18" s="108" t="s">
        <v>777</v>
      </c>
      <c r="B18" s="108" t="s">
        <v>770</v>
      </c>
      <c r="C18" s="108" t="s">
        <v>772</v>
      </c>
      <c r="D18" s="108" t="s">
        <v>769</v>
      </c>
      <c r="E18" s="75"/>
      <c r="F18" s="75"/>
      <c r="G18" s="75"/>
      <c r="H18" s="75"/>
      <c r="I18" s="75"/>
      <c r="J18" s="75"/>
      <c r="K18" s="75"/>
    </row>
    <row r="19" spans="1:11">
      <c r="A19" s="108" t="s">
        <v>776</v>
      </c>
      <c r="B19" s="108" t="s">
        <v>774</v>
      </c>
      <c r="C19" s="108" t="s">
        <v>766</v>
      </c>
      <c r="D19" s="108" t="s">
        <v>765</v>
      </c>
      <c r="E19" s="75"/>
      <c r="F19" s="75"/>
      <c r="G19" s="75"/>
      <c r="H19" s="75"/>
      <c r="I19" s="75"/>
      <c r="J19" s="75"/>
      <c r="K19" s="75"/>
    </row>
    <row r="20" spans="1:11">
      <c r="A20" s="108" t="s">
        <v>775</v>
      </c>
      <c r="B20" s="108" t="s">
        <v>774</v>
      </c>
      <c r="C20" s="108" t="s">
        <v>772</v>
      </c>
      <c r="D20" s="108" t="s">
        <v>769</v>
      </c>
      <c r="E20" s="75"/>
      <c r="F20" s="75"/>
      <c r="G20" s="75"/>
      <c r="H20" s="75"/>
      <c r="I20" s="75"/>
      <c r="J20" s="75"/>
      <c r="K20" s="75"/>
    </row>
    <row r="21" spans="1:11">
      <c r="A21" s="108" t="s">
        <v>773</v>
      </c>
      <c r="B21" s="108" t="s">
        <v>770</v>
      </c>
      <c r="C21" s="108" t="s">
        <v>772</v>
      </c>
      <c r="D21" s="108" t="s">
        <v>769</v>
      </c>
      <c r="E21" s="75"/>
      <c r="F21" s="75"/>
      <c r="G21" s="75"/>
      <c r="H21" s="75"/>
      <c r="I21" s="75"/>
      <c r="J21" s="75"/>
      <c r="K21" s="75"/>
    </row>
    <row r="22" spans="1:11">
      <c r="A22" s="108" t="s">
        <v>771</v>
      </c>
      <c r="B22" s="108" t="s">
        <v>770</v>
      </c>
      <c r="C22" s="108" t="s">
        <v>766</v>
      </c>
      <c r="D22" s="108" t="s">
        <v>769</v>
      </c>
      <c r="E22" s="75"/>
      <c r="F22" s="75"/>
      <c r="G22" s="75"/>
      <c r="H22" s="75"/>
      <c r="I22" s="75"/>
      <c r="J22" s="75"/>
      <c r="K22" s="75"/>
    </row>
    <row r="23" spans="1:11">
      <c r="A23" s="108" t="s">
        <v>768</v>
      </c>
      <c r="B23" s="108" t="s">
        <v>767</v>
      </c>
      <c r="C23" s="108" t="s">
        <v>766</v>
      </c>
      <c r="D23" s="108" t="s">
        <v>765</v>
      </c>
      <c r="E23" s="75"/>
      <c r="F23" s="75"/>
      <c r="G23" s="75"/>
      <c r="H23" s="75"/>
      <c r="I23" s="75"/>
      <c r="J23" s="75"/>
      <c r="K23" s="75"/>
    </row>
    <row r="24" spans="1:11">
      <c r="A24" s="75"/>
      <c r="B24" s="75"/>
      <c r="C24" s="75"/>
      <c r="D24" s="75"/>
      <c r="E24" s="75"/>
      <c r="F24" s="75"/>
      <c r="G24" s="75"/>
      <c r="H24" s="75"/>
      <c r="I24" s="75"/>
      <c r="J24" s="75"/>
      <c r="K24" s="75"/>
    </row>
    <row r="25" spans="1:11">
      <c r="A25" s="75"/>
      <c r="B25" s="75"/>
      <c r="C25" s="75"/>
      <c r="D25" s="75"/>
      <c r="E25" s="75"/>
      <c r="F25" s="75"/>
      <c r="G25" s="75"/>
      <c r="H25" s="75"/>
      <c r="I25" s="75"/>
      <c r="J25" s="75"/>
      <c r="K25" s="75"/>
    </row>
    <row r="26" spans="1:11" ht="31.2">
      <c r="A26" s="107" t="s">
        <v>764</v>
      </c>
      <c r="B26" s="75"/>
      <c r="C26" s="75"/>
      <c r="D26" s="75"/>
      <c r="E26" s="75"/>
      <c r="F26" s="75"/>
      <c r="G26" s="75"/>
      <c r="H26" s="75"/>
      <c r="I26" s="75"/>
      <c r="J26" s="75"/>
      <c r="K26" s="75"/>
    </row>
    <row r="27" spans="1:11">
      <c r="A27" s="75"/>
      <c r="B27" s="75"/>
      <c r="C27" s="75"/>
      <c r="D27" s="75"/>
      <c r="E27" s="75"/>
      <c r="F27" s="75"/>
      <c r="G27" s="75"/>
      <c r="H27" s="75"/>
      <c r="I27" s="75"/>
      <c r="J27" s="75"/>
      <c r="K27" s="75"/>
    </row>
    <row r="28" spans="1:11" ht="18">
      <c r="A28" s="75"/>
      <c r="B28" s="172" t="s">
        <v>763</v>
      </c>
      <c r="C28" s="173"/>
      <c r="D28" s="173"/>
      <c r="E28" s="173"/>
      <c r="F28" s="173"/>
      <c r="G28" s="173"/>
      <c r="H28" s="174"/>
      <c r="I28" s="106"/>
      <c r="J28" s="106"/>
      <c r="K28" s="75"/>
    </row>
    <row r="29" spans="1:11">
      <c r="A29" s="105"/>
      <c r="B29" s="75" t="s">
        <v>762</v>
      </c>
      <c r="C29" s="75"/>
      <c r="D29" s="75"/>
      <c r="E29" s="75"/>
      <c r="F29" s="75"/>
      <c r="G29" s="75"/>
      <c r="H29" s="75"/>
      <c r="I29" s="75"/>
      <c r="J29" s="75"/>
      <c r="K29" s="75"/>
    </row>
    <row r="30" spans="1:11" ht="15.6">
      <c r="A30" s="75"/>
      <c r="B30" s="104" t="s">
        <v>761</v>
      </c>
      <c r="C30" s="104" t="s">
        <v>760</v>
      </c>
      <c r="D30" s="104" t="s">
        <v>759</v>
      </c>
      <c r="E30" s="104" t="s">
        <v>758</v>
      </c>
      <c r="F30" s="104" t="s">
        <v>757</v>
      </c>
      <c r="G30" s="104" t="s">
        <v>756</v>
      </c>
      <c r="H30" s="104" t="s">
        <v>755</v>
      </c>
      <c r="I30" s="103"/>
      <c r="J30" s="103"/>
      <c r="K30" s="75"/>
    </row>
    <row r="31" spans="1:11">
      <c r="A31" s="75"/>
      <c r="B31" s="102">
        <v>44874</v>
      </c>
      <c r="C31" s="100" t="s">
        <v>752</v>
      </c>
      <c r="D31" s="101">
        <v>5000</v>
      </c>
      <c r="E31" s="100" t="s">
        <v>754</v>
      </c>
      <c r="F31" s="100" t="s">
        <v>739</v>
      </c>
      <c r="G31" s="100" t="s">
        <v>634</v>
      </c>
      <c r="H31" s="100" t="s">
        <v>738</v>
      </c>
      <c r="I31" s="97"/>
      <c r="J31" s="97"/>
      <c r="K31" s="97"/>
    </row>
    <row r="32" spans="1:11">
      <c r="A32" s="75"/>
      <c r="B32" s="102">
        <v>44875</v>
      </c>
      <c r="C32" s="100" t="s">
        <v>751</v>
      </c>
      <c r="D32" s="101">
        <v>14571</v>
      </c>
      <c r="E32" s="100" t="s">
        <v>749</v>
      </c>
      <c r="F32" s="100" t="s">
        <v>747</v>
      </c>
      <c r="G32" s="100" t="s">
        <v>634</v>
      </c>
      <c r="H32" s="100" t="s">
        <v>753</v>
      </c>
      <c r="I32" s="97"/>
      <c r="J32" s="97"/>
      <c r="K32" s="75"/>
    </row>
    <row r="33" spans="1:11">
      <c r="A33" s="75"/>
      <c r="B33" s="102">
        <v>44875</v>
      </c>
      <c r="C33" s="100" t="s">
        <v>750</v>
      </c>
      <c r="D33" s="100">
        <v>500</v>
      </c>
      <c r="E33" s="100" t="s">
        <v>743</v>
      </c>
      <c r="F33" s="100" t="s">
        <v>739</v>
      </c>
      <c r="G33" s="100" t="s">
        <v>634</v>
      </c>
      <c r="H33" s="100" t="s">
        <v>738</v>
      </c>
      <c r="I33" s="97"/>
      <c r="J33" s="97"/>
      <c r="K33" s="75"/>
    </row>
    <row r="34" spans="1:11">
      <c r="A34" s="75"/>
      <c r="B34" s="102">
        <v>44876</v>
      </c>
      <c r="C34" s="100" t="s">
        <v>748</v>
      </c>
      <c r="D34" s="101">
        <v>15000</v>
      </c>
      <c r="E34" s="100" t="s">
        <v>749</v>
      </c>
      <c r="F34" s="100" t="s">
        <v>739</v>
      </c>
      <c r="G34" s="100" t="s">
        <v>634</v>
      </c>
      <c r="H34" s="100" t="s">
        <v>738</v>
      </c>
      <c r="I34" s="97"/>
      <c r="J34" s="97"/>
      <c r="K34" s="75"/>
    </row>
    <row r="35" spans="1:11">
      <c r="A35" s="75"/>
      <c r="B35" s="102">
        <v>44876</v>
      </c>
      <c r="C35" s="100" t="s">
        <v>745</v>
      </c>
      <c r="D35" s="101">
        <v>4623</v>
      </c>
      <c r="E35" s="100" t="s">
        <v>740</v>
      </c>
      <c r="F35" s="100" t="s">
        <v>739</v>
      </c>
      <c r="G35" s="100" t="s">
        <v>746</v>
      </c>
      <c r="H35" s="100" t="s">
        <v>738</v>
      </c>
      <c r="I35" s="97"/>
      <c r="J35" s="97"/>
      <c r="K35" s="75"/>
    </row>
    <row r="36" spans="1:11">
      <c r="A36" s="75"/>
      <c r="B36" s="102">
        <v>44877</v>
      </c>
      <c r="C36" s="100" t="s">
        <v>744</v>
      </c>
      <c r="D36" s="101">
        <v>8721</v>
      </c>
      <c r="E36" s="100" t="s">
        <v>740</v>
      </c>
      <c r="F36" s="100" t="s">
        <v>739</v>
      </c>
      <c r="G36" s="100" t="s">
        <v>742</v>
      </c>
      <c r="H36" s="100" t="s">
        <v>753</v>
      </c>
      <c r="I36" s="97"/>
      <c r="J36" s="97"/>
      <c r="K36" s="75"/>
    </row>
    <row r="37" spans="1:11">
      <c r="A37" s="75"/>
      <c r="B37" s="102">
        <v>44877</v>
      </c>
      <c r="C37" s="100" t="s">
        <v>741</v>
      </c>
      <c r="D37" s="101">
        <v>15276</v>
      </c>
      <c r="E37" s="100" t="s">
        <v>740</v>
      </c>
      <c r="F37" s="100" t="s">
        <v>739</v>
      </c>
      <c r="G37" s="100" t="s">
        <v>746</v>
      </c>
      <c r="H37" s="100" t="s">
        <v>738</v>
      </c>
      <c r="I37" s="97"/>
      <c r="J37" s="97"/>
      <c r="K37" s="75"/>
    </row>
    <row r="38" spans="1:11">
      <c r="A38" s="75"/>
      <c r="B38" s="102">
        <v>44878</v>
      </c>
      <c r="C38" s="100" t="s">
        <v>752</v>
      </c>
      <c r="D38" s="101">
        <v>5000</v>
      </c>
      <c r="E38" s="100" t="s">
        <v>740</v>
      </c>
      <c r="F38" s="100" t="s">
        <v>739</v>
      </c>
      <c r="G38" s="100" t="s">
        <v>742</v>
      </c>
      <c r="H38" s="100" t="s">
        <v>738</v>
      </c>
      <c r="I38" s="97"/>
      <c r="J38" s="97"/>
      <c r="K38" s="75"/>
    </row>
    <row r="39" spans="1:11">
      <c r="A39" s="75"/>
      <c r="B39" s="102">
        <v>44878</v>
      </c>
      <c r="C39" s="100" t="s">
        <v>751</v>
      </c>
      <c r="D39" s="101">
        <v>15759</v>
      </c>
      <c r="E39" s="100" t="s">
        <v>749</v>
      </c>
      <c r="F39" s="100" t="s">
        <v>747</v>
      </c>
      <c r="G39" s="100" t="s">
        <v>742</v>
      </c>
      <c r="H39" s="100" t="s">
        <v>738</v>
      </c>
      <c r="I39" s="97"/>
      <c r="J39" s="97"/>
      <c r="K39" s="75"/>
    </row>
    <row r="40" spans="1:11">
      <c r="A40" s="75"/>
      <c r="B40" s="102">
        <v>44879</v>
      </c>
      <c r="C40" s="100" t="s">
        <v>750</v>
      </c>
      <c r="D40" s="101">
        <v>12000</v>
      </c>
      <c r="E40" s="100" t="s">
        <v>749</v>
      </c>
      <c r="F40" s="100" t="s">
        <v>739</v>
      </c>
      <c r="G40" s="100" t="s">
        <v>742</v>
      </c>
      <c r="H40" s="100" t="s">
        <v>738</v>
      </c>
      <c r="I40" s="97"/>
      <c r="J40" s="97"/>
      <c r="K40" s="75"/>
    </row>
    <row r="41" spans="1:11">
      <c r="A41" s="75"/>
      <c r="B41" s="102">
        <v>44879</v>
      </c>
      <c r="C41" s="100" t="s">
        <v>748</v>
      </c>
      <c r="D41" s="101">
        <v>7177</v>
      </c>
      <c r="E41" s="100" t="s">
        <v>740</v>
      </c>
      <c r="F41" s="100" t="s">
        <v>747</v>
      </c>
      <c r="G41" s="100" t="s">
        <v>746</v>
      </c>
      <c r="H41" s="100" t="s">
        <v>738</v>
      </c>
      <c r="I41" s="97"/>
      <c r="J41" s="97"/>
      <c r="K41" s="75"/>
    </row>
    <row r="42" spans="1:11">
      <c r="A42" s="75"/>
      <c r="B42" s="102">
        <v>44880</v>
      </c>
      <c r="C42" s="100" t="s">
        <v>745</v>
      </c>
      <c r="D42" s="101">
        <v>6837</v>
      </c>
      <c r="E42" s="100" t="s">
        <v>740</v>
      </c>
      <c r="F42" s="100" t="s">
        <v>739</v>
      </c>
      <c r="G42" s="100" t="s">
        <v>742</v>
      </c>
      <c r="H42" s="100" t="s">
        <v>738</v>
      </c>
      <c r="I42" s="97"/>
      <c r="J42" s="97"/>
      <c r="K42" s="75"/>
    </row>
    <row r="43" spans="1:11">
      <c r="A43" s="75"/>
      <c r="B43" s="102">
        <v>44880</v>
      </c>
      <c r="C43" s="100" t="s">
        <v>744</v>
      </c>
      <c r="D43" s="101">
        <v>3171</v>
      </c>
      <c r="E43" s="100" t="s">
        <v>743</v>
      </c>
      <c r="F43" s="100" t="s">
        <v>739</v>
      </c>
      <c r="G43" s="100" t="s">
        <v>742</v>
      </c>
      <c r="H43" s="100" t="s">
        <v>738</v>
      </c>
      <c r="I43" s="97"/>
      <c r="J43" s="97"/>
      <c r="K43" s="75"/>
    </row>
    <row r="44" spans="1:11">
      <c r="A44" s="75"/>
      <c r="B44" s="102">
        <v>44881</v>
      </c>
      <c r="C44" s="100" t="s">
        <v>741</v>
      </c>
      <c r="D44" s="101">
        <v>50000</v>
      </c>
      <c r="E44" s="100" t="s">
        <v>740</v>
      </c>
      <c r="F44" s="100" t="s">
        <v>739</v>
      </c>
      <c r="G44" s="100" t="s">
        <v>634</v>
      </c>
      <c r="H44" s="100" t="s">
        <v>738</v>
      </c>
      <c r="I44" s="97"/>
      <c r="J44" s="97"/>
      <c r="K44" s="75"/>
    </row>
    <row r="45" spans="1:11">
      <c r="A45" s="75"/>
      <c r="B45" s="99"/>
      <c r="C45" s="97"/>
      <c r="D45" s="98"/>
      <c r="E45" s="97"/>
      <c r="F45" s="97"/>
      <c r="G45" s="97"/>
      <c r="H45" s="97"/>
      <c r="I45" s="97"/>
      <c r="J45" s="97"/>
      <c r="K45" s="75"/>
    </row>
    <row r="46" spans="1:11">
      <c r="A46" s="75"/>
      <c r="B46" s="187" t="s">
        <v>951</v>
      </c>
      <c r="C46" s="171"/>
      <c r="D46" s="171"/>
      <c r="E46" s="75"/>
      <c r="F46" s="75"/>
      <c r="G46" s="75"/>
      <c r="H46" s="75"/>
      <c r="I46" s="75"/>
      <c r="J46" s="75"/>
      <c r="K46" s="75"/>
    </row>
    <row r="48" spans="1:11">
      <c r="B48" s="185" t="s">
        <v>950</v>
      </c>
      <c r="C48" t="s">
        <v>949</v>
      </c>
    </row>
    <row r="49" spans="2:3">
      <c r="B49" s="48" t="s">
        <v>634</v>
      </c>
      <c r="C49" s="186">
        <v>85071</v>
      </c>
    </row>
    <row r="50" spans="2:3">
      <c r="B50" s="48" t="s">
        <v>746</v>
      </c>
      <c r="C50" s="186">
        <v>27076</v>
      </c>
    </row>
    <row r="51" spans="2:3">
      <c r="B51" s="48" t="s">
        <v>742</v>
      </c>
      <c r="C51" s="186">
        <v>51488</v>
      </c>
    </row>
    <row r="52" spans="2:3">
      <c r="B52" s="48" t="s">
        <v>948</v>
      </c>
      <c r="C52" s="186">
        <v>163635</v>
      </c>
    </row>
  </sheetData>
  <mergeCells count="2">
    <mergeCell ref="B28:H28"/>
    <mergeCell ref="B46:D46"/>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9704D-5F6C-428B-9281-CC7C37EA41AF}">
  <sheetPr>
    <tabColor theme="3" tint="0.749992370372631"/>
  </sheetPr>
  <dimension ref="A1:AK34"/>
  <sheetViews>
    <sheetView topLeftCell="A3" zoomScale="59" workbookViewId="0">
      <selection activeCell="AL8" sqref="AL8"/>
    </sheetView>
  </sheetViews>
  <sheetFormatPr defaultRowHeight="14.4"/>
  <cols>
    <col min="1" max="1" width="20.6640625" bestFit="1" customWidth="1"/>
    <col min="4" max="4" width="26.77734375" customWidth="1"/>
    <col min="5" max="5" width="32.5546875" bestFit="1" customWidth="1"/>
    <col min="6" max="6" width="10.5546875" bestFit="1" customWidth="1"/>
    <col min="7" max="7" width="13.33203125" customWidth="1"/>
    <col min="8" max="8" width="13" customWidth="1"/>
    <col min="9" max="9" width="9.21875" bestFit="1" customWidth="1"/>
    <col min="10" max="10" width="14.6640625" customWidth="1"/>
    <col min="11" max="11" width="9.21875" bestFit="1" customWidth="1"/>
    <col min="19" max="19" width="11" bestFit="1" customWidth="1"/>
    <col min="22" max="24" width="9" bestFit="1" customWidth="1"/>
    <col min="27" max="27" width="9.77734375" bestFit="1" customWidth="1"/>
    <col min="30" max="32" width="9" bestFit="1" customWidth="1"/>
    <col min="35" max="35" width="13.6640625" bestFit="1" customWidth="1"/>
    <col min="36" max="36" width="15" bestFit="1" customWidth="1"/>
  </cols>
  <sheetData>
    <row r="1" spans="1:37" ht="28.8">
      <c r="A1" s="110" t="s">
        <v>845</v>
      </c>
      <c r="B1" s="75"/>
      <c r="C1" s="75"/>
      <c r="D1" s="75"/>
      <c r="E1" s="75"/>
      <c r="F1" s="75"/>
      <c r="G1" s="75"/>
      <c r="H1" s="75"/>
      <c r="I1" s="75"/>
      <c r="J1" s="75"/>
      <c r="K1" s="75"/>
      <c r="L1" s="75"/>
      <c r="M1" s="75"/>
      <c r="N1" s="75"/>
      <c r="W1" s="75"/>
      <c r="X1" s="75"/>
      <c r="Y1" s="75"/>
      <c r="Z1" s="75"/>
      <c r="AA1" s="75"/>
      <c r="AB1" s="75"/>
      <c r="AC1" s="75"/>
      <c r="AD1" s="75"/>
      <c r="AE1" s="75"/>
      <c r="AF1" s="75"/>
      <c r="AG1" s="75"/>
      <c r="AH1" s="75"/>
      <c r="AI1" s="75"/>
      <c r="AJ1" s="75"/>
      <c r="AK1" s="75"/>
    </row>
    <row r="2" spans="1:37" ht="73.95" customHeight="1">
      <c r="A2" s="105"/>
      <c r="B2" s="175" t="s">
        <v>844</v>
      </c>
      <c r="C2" s="175"/>
      <c r="D2" s="175"/>
      <c r="E2" s="175"/>
      <c r="F2" s="175"/>
      <c r="G2" s="175"/>
      <c r="H2" s="175"/>
      <c r="I2" s="175"/>
      <c r="J2" s="175"/>
      <c r="K2" s="175"/>
      <c r="L2" s="75"/>
      <c r="M2" s="75"/>
      <c r="N2" s="75"/>
      <c r="W2" s="75"/>
      <c r="X2" s="255" t="s">
        <v>843</v>
      </c>
      <c r="Y2" s="255" t="s">
        <v>842</v>
      </c>
      <c r="Z2" s="255" t="s">
        <v>662</v>
      </c>
      <c r="AA2" s="255" t="s">
        <v>761</v>
      </c>
      <c r="AB2" s="255" t="s">
        <v>660</v>
      </c>
      <c r="AC2" s="255" t="s">
        <v>82</v>
      </c>
      <c r="AD2" s="255" t="s">
        <v>841</v>
      </c>
      <c r="AE2" s="255" t="s">
        <v>840</v>
      </c>
      <c r="AF2" s="255" t="s">
        <v>839</v>
      </c>
      <c r="AG2" s="75"/>
      <c r="AH2" s="75"/>
      <c r="AI2" s="75"/>
      <c r="AJ2" s="75"/>
      <c r="AK2" s="75"/>
    </row>
    <row r="3" spans="1:37" ht="28.8">
      <c r="A3" s="75"/>
      <c r="B3" s="105"/>
      <c r="C3" s="75"/>
      <c r="D3" s="75"/>
      <c r="E3" s="75"/>
      <c r="F3" s="75"/>
      <c r="G3" s="75"/>
      <c r="H3" s="75"/>
      <c r="I3" s="75"/>
      <c r="J3" s="75"/>
      <c r="K3" s="75"/>
      <c r="L3" s="75"/>
      <c r="M3" s="75"/>
      <c r="N3" s="75"/>
      <c r="W3" s="75"/>
      <c r="X3" s="224" t="s">
        <v>991</v>
      </c>
      <c r="Y3" s="224" t="s">
        <v>992</v>
      </c>
      <c r="Z3" s="224" t="s">
        <v>805</v>
      </c>
      <c r="AA3" s="225">
        <v>43276</v>
      </c>
      <c r="AB3" s="224" t="s">
        <v>97</v>
      </c>
      <c r="AC3" s="224" t="s">
        <v>993</v>
      </c>
      <c r="AD3" s="224">
        <v>90</v>
      </c>
      <c r="AE3" s="224">
        <v>36</v>
      </c>
      <c r="AF3" s="254">
        <v>0.6</v>
      </c>
      <c r="AG3" s="75"/>
      <c r="AH3" s="75"/>
      <c r="AI3" s="75"/>
      <c r="AJ3" s="75"/>
      <c r="AK3" s="75"/>
    </row>
    <row r="4" spans="1:37" ht="43.2">
      <c r="A4" s="75"/>
      <c r="B4" s="105"/>
      <c r="C4" s="121" t="s">
        <v>843</v>
      </c>
      <c r="D4" s="121" t="s">
        <v>842</v>
      </c>
      <c r="E4" s="121" t="s">
        <v>662</v>
      </c>
      <c r="F4" s="121" t="s">
        <v>761</v>
      </c>
      <c r="G4" s="121" t="s">
        <v>660</v>
      </c>
      <c r="H4" s="121" t="s">
        <v>82</v>
      </c>
      <c r="I4" s="121" t="s">
        <v>841</v>
      </c>
      <c r="J4" s="121" t="s">
        <v>840</v>
      </c>
      <c r="K4" s="121" t="s">
        <v>839</v>
      </c>
      <c r="L4" s="75"/>
      <c r="M4" s="75"/>
      <c r="N4" s="75"/>
      <c r="W4" s="75"/>
      <c r="X4" s="224" t="s">
        <v>994</v>
      </c>
      <c r="Y4" s="224" t="s">
        <v>995</v>
      </c>
      <c r="Z4" s="224" t="s">
        <v>809</v>
      </c>
      <c r="AA4" s="225">
        <v>43277</v>
      </c>
      <c r="AB4" s="224" t="s">
        <v>996</v>
      </c>
      <c r="AC4" s="224" t="s">
        <v>997</v>
      </c>
      <c r="AD4" s="224">
        <v>80</v>
      </c>
      <c r="AE4" s="224">
        <v>28</v>
      </c>
      <c r="AF4" s="254">
        <v>0.65</v>
      </c>
      <c r="AG4" s="75"/>
      <c r="AH4" s="75"/>
      <c r="AI4" s="185" t="s">
        <v>947</v>
      </c>
      <c r="AJ4" t="s">
        <v>1028</v>
      </c>
    </row>
    <row r="5" spans="1:37" ht="28.8">
      <c r="A5" s="75"/>
      <c r="B5" s="105"/>
      <c r="C5" s="75" t="s">
        <v>838</v>
      </c>
      <c r="D5" s="75" t="s">
        <v>837</v>
      </c>
      <c r="E5" s="75" t="s">
        <v>805</v>
      </c>
      <c r="F5" s="120">
        <v>43261</v>
      </c>
      <c r="G5" s="75" t="s">
        <v>836</v>
      </c>
      <c r="H5" s="75" t="s">
        <v>835</v>
      </c>
      <c r="I5" s="75">
        <v>50</v>
      </c>
      <c r="J5" s="75">
        <v>20</v>
      </c>
      <c r="K5" s="119">
        <v>0.6</v>
      </c>
      <c r="L5" s="75"/>
      <c r="M5" s="75"/>
      <c r="N5" s="75"/>
      <c r="W5" s="75"/>
      <c r="X5" s="224" t="s">
        <v>128</v>
      </c>
      <c r="Y5" s="224" t="s">
        <v>998</v>
      </c>
      <c r="Z5" s="224" t="s">
        <v>999</v>
      </c>
      <c r="AA5" s="225">
        <v>43278</v>
      </c>
      <c r="AB5" s="224" t="s">
        <v>93</v>
      </c>
      <c r="AC5" s="224" t="s">
        <v>1000</v>
      </c>
      <c r="AD5" s="224">
        <v>500</v>
      </c>
      <c r="AE5" s="224">
        <v>180</v>
      </c>
      <c r="AF5" s="254">
        <v>0.64</v>
      </c>
      <c r="AG5" s="75"/>
      <c r="AH5" s="75"/>
      <c r="AI5" s="48" t="s">
        <v>1007</v>
      </c>
      <c r="AJ5" s="186">
        <v>70</v>
      </c>
    </row>
    <row r="6" spans="1:37" ht="28.8">
      <c r="A6" s="75"/>
      <c r="B6" s="105"/>
      <c r="C6" s="75" t="s">
        <v>811</v>
      </c>
      <c r="D6" s="75" t="s">
        <v>810</v>
      </c>
      <c r="E6" s="75" t="s">
        <v>809</v>
      </c>
      <c r="F6" s="120">
        <v>43263</v>
      </c>
      <c r="G6" s="75" t="s">
        <v>816</v>
      </c>
      <c r="H6" s="75" t="s">
        <v>834</v>
      </c>
      <c r="I6" s="75">
        <v>50</v>
      </c>
      <c r="J6" s="75">
        <v>18</v>
      </c>
      <c r="K6" s="119">
        <v>0.64</v>
      </c>
      <c r="L6" s="75"/>
      <c r="M6" s="75"/>
      <c r="N6" s="75"/>
      <c r="W6" s="75"/>
      <c r="X6" s="224" t="s">
        <v>1001</v>
      </c>
      <c r="Y6" s="224" t="s">
        <v>1002</v>
      </c>
      <c r="Z6" s="224" t="s">
        <v>999</v>
      </c>
      <c r="AA6" s="225">
        <v>43279</v>
      </c>
      <c r="AB6" s="224" t="s">
        <v>88</v>
      </c>
      <c r="AC6" s="224" t="s">
        <v>1003</v>
      </c>
      <c r="AD6" s="224">
        <v>1200</v>
      </c>
      <c r="AE6" s="224">
        <v>510</v>
      </c>
      <c r="AF6" s="254">
        <v>0.57499999999999996</v>
      </c>
      <c r="AG6" s="75"/>
      <c r="AH6" s="75"/>
      <c r="AI6" s="48" t="s">
        <v>1024</v>
      </c>
      <c r="AJ6" s="186">
        <v>60</v>
      </c>
    </row>
    <row r="7" spans="1:37" ht="28.8">
      <c r="A7" s="75"/>
      <c r="B7" s="105"/>
      <c r="C7" s="75" t="s">
        <v>811</v>
      </c>
      <c r="D7" s="75" t="s">
        <v>810</v>
      </c>
      <c r="E7" s="75" t="s">
        <v>809</v>
      </c>
      <c r="F7" s="120">
        <v>43264</v>
      </c>
      <c r="G7" s="75" t="s">
        <v>101</v>
      </c>
      <c r="H7" s="75" t="s">
        <v>833</v>
      </c>
      <c r="I7" s="75">
        <v>150</v>
      </c>
      <c r="J7" s="75">
        <v>68</v>
      </c>
      <c r="K7" s="119">
        <v>0.54666666666666697</v>
      </c>
      <c r="L7" s="75"/>
      <c r="M7" s="75"/>
      <c r="N7" s="75"/>
      <c r="W7" s="75"/>
      <c r="X7" s="224" t="s">
        <v>1004</v>
      </c>
      <c r="Y7" s="224" t="s">
        <v>1005</v>
      </c>
      <c r="Z7" s="224" t="s">
        <v>805</v>
      </c>
      <c r="AA7" s="225">
        <v>43280</v>
      </c>
      <c r="AB7" s="224" t="s">
        <v>98</v>
      </c>
      <c r="AC7" s="224" t="s">
        <v>1006</v>
      </c>
      <c r="AD7" s="224">
        <v>60</v>
      </c>
      <c r="AE7" s="224">
        <v>24</v>
      </c>
      <c r="AF7" s="254">
        <v>0.6</v>
      </c>
      <c r="AG7" s="75"/>
      <c r="AH7" s="75"/>
      <c r="AI7" s="48" t="s">
        <v>991</v>
      </c>
      <c r="AJ7" s="186">
        <v>90</v>
      </c>
    </row>
    <row r="8" spans="1:37" ht="28.8">
      <c r="A8" s="75"/>
      <c r="B8" s="105"/>
      <c r="C8" s="75" t="s">
        <v>832</v>
      </c>
      <c r="D8" s="75" t="s">
        <v>831</v>
      </c>
      <c r="E8" s="75" t="s">
        <v>805</v>
      </c>
      <c r="F8" s="120">
        <v>43265</v>
      </c>
      <c r="G8" s="75" t="s">
        <v>101</v>
      </c>
      <c r="H8" s="75" t="s">
        <v>830</v>
      </c>
      <c r="I8" s="75">
        <v>500</v>
      </c>
      <c r="J8" s="75">
        <v>175</v>
      </c>
      <c r="K8" s="119">
        <v>0.65</v>
      </c>
      <c r="L8" s="75"/>
      <c r="M8" s="75"/>
      <c r="N8" s="75"/>
      <c r="W8" s="75"/>
      <c r="X8" s="224" t="s">
        <v>1007</v>
      </c>
      <c r="Y8" s="224" t="s">
        <v>1008</v>
      </c>
      <c r="Z8" s="224" t="s">
        <v>809</v>
      </c>
      <c r="AA8" s="225">
        <v>43281</v>
      </c>
      <c r="AB8" s="224" t="s">
        <v>816</v>
      </c>
      <c r="AC8" s="224" t="s">
        <v>1009</v>
      </c>
      <c r="AD8" s="224">
        <v>70</v>
      </c>
      <c r="AE8" s="224">
        <v>25</v>
      </c>
      <c r="AF8" s="254">
        <v>0.64290000000000003</v>
      </c>
      <c r="AG8" s="75"/>
      <c r="AH8" s="75"/>
      <c r="AI8" s="48" t="s">
        <v>838</v>
      </c>
      <c r="AJ8" s="186">
        <v>50</v>
      </c>
    </row>
    <row r="9" spans="1:37" ht="28.8">
      <c r="A9" s="75"/>
      <c r="B9" s="105"/>
      <c r="C9" s="75" t="s">
        <v>829</v>
      </c>
      <c r="D9" s="75" t="s">
        <v>828</v>
      </c>
      <c r="E9" s="75" t="s">
        <v>805</v>
      </c>
      <c r="F9" s="120">
        <v>43266</v>
      </c>
      <c r="G9" s="75" t="s">
        <v>101</v>
      </c>
      <c r="H9" s="75" t="s">
        <v>827</v>
      </c>
      <c r="I9" s="75">
        <v>30</v>
      </c>
      <c r="J9" s="75">
        <v>14</v>
      </c>
      <c r="K9" s="119">
        <v>0.53333333333333299</v>
      </c>
      <c r="L9" s="75"/>
      <c r="M9" s="75"/>
      <c r="N9" s="75"/>
      <c r="W9" s="75"/>
      <c r="X9" s="224" t="s">
        <v>134</v>
      </c>
      <c r="Y9" s="224" t="s">
        <v>998</v>
      </c>
      <c r="Z9" s="224" t="s">
        <v>999</v>
      </c>
      <c r="AA9" s="225">
        <v>43282</v>
      </c>
      <c r="AB9" s="224" t="s">
        <v>103</v>
      </c>
      <c r="AC9" s="224" t="s">
        <v>1010</v>
      </c>
      <c r="AD9" s="224">
        <v>110</v>
      </c>
      <c r="AE9" s="224">
        <v>40</v>
      </c>
      <c r="AF9" s="254">
        <v>0.63639999999999997</v>
      </c>
      <c r="AG9" s="75"/>
      <c r="AH9" s="75"/>
      <c r="AI9" s="48" t="s">
        <v>134</v>
      </c>
      <c r="AJ9" s="186">
        <v>110</v>
      </c>
    </row>
    <row r="10" spans="1:37" ht="28.8">
      <c r="A10" s="75"/>
      <c r="B10" s="105"/>
      <c r="C10" s="75" t="s">
        <v>826</v>
      </c>
      <c r="D10" s="75" t="s">
        <v>825</v>
      </c>
      <c r="E10" s="75" t="s">
        <v>805</v>
      </c>
      <c r="F10" s="120">
        <v>43267</v>
      </c>
      <c r="G10" s="75" t="s">
        <v>824</v>
      </c>
      <c r="H10" s="75" t="s">
        <v>823</v>
      </c>
      <c r="I10" s="75">
        <v>700</v>
      </c>
      <c r="J10" s="75">
        <v>315</v>
      </c>
      <c r="K10" s="119">
        <v>0.55000000000000004</v>
      </c>
      <c r="L10" s="75"/>
      <c r="M10" s="75"/>
      <c r="N10" s="75"/>
      <c r="W10" s="75"/>
      <c r="X10" s="224" t="s">
        <v>495</v>
      </c>
      <c r="Y10" s="224" t="s">
        <v>1011</v>
      </c>
      <c r="Z10" s="224" t="s">
        <v>809</v>
      </c>
      <c r="AA10" s="225">
        <v>43283</v>
      </c>
      <c r="AB10" s="224" t="s">
        <v>1012</v>
      </c>
      <c r="AC10" s="224" t="s">
        <v>1013</v>
      </c>
      <c r="AD10" s="224">
        <v>600</v>
      </c>
      <c r="AE10" s="224">
        <v>210</v>
      </c>
      <c r="AF10" s="254">
        <v>0.65</v>
      </c>
      <c r="AG10" s="75"/>
      <c r="AH10" s="75"/>
      <c r="AI10" s="48" t="s">
        <v>495</v>
      </c>
      <c r="AJ10" s="186">
        <v>600</v>
      </c>
    </row>
    <row r="11" spans="1:37" ht="28.8">
      <c r="A11" s="75"/>
      <c r="B11" s="105"/>
      <c r="C11" s="75" t="s">
        <v>814</v>
      </c>
      <c r="D11" s="75" t="s">
        <v>813</v>
      </c>
      <c r="E11" s="75" t="s">
        <v>809</v>
      </c>
      <c r="F11" s="120">
        <v>43268</v>
      </c>
      <c r="G11" s="75" t="s">
        <v>88</v>
      </c>
      <c r="H11" s="75" t="s">
        <v>822</v>
      </c>
      <c r="I11" s="75">
        <v>1000</v>
      </c>
      <c r="J11" s="75">
        <v>360</v>
      </c>
      <c r="K11" s="119">
        <v>0.64</v>
      </c>
      <c r="L11" s="75"/>
      <c r="M11" s="75"/>
      <c r="N11" s="75"/>
      <c r="W11" s="75"/>
      <c r="X11" s="224" t="s">
        <v>1014</v>
      </c>
      <c r="Y11" s="224" t="s">
        <v>1015</v>
      </c>
      <c r="Z11" s="224" t="s">
        <v>805</v>
      </c>
      <c r="AA11" s="225">
        <v>43284</v>
      </c>
      <c r="AB11" s="224" t="s">
        <v>101</v>
      </c>
      <c r="AC11" s="224" t="s">
        <v>1016</v>
      </c>
      <c r="AD11" s="224">
        <v>120</v>
      </c>
      <c r="AE11" s="224">
        <v>55</v>
      </c>
      <c r="AF11" s="254">
        <v>0.54169999999999996</v>
      </c>
      <c r="AG11" s="75"/>
      <c r="AH11" s="75"/>
      <c r="AI11" s="48" t="s">
        <v>821</v>
      </c>
      <c r="AJ11" s="186">
        <v>70</v>
      </c>
    </row>
    <row r="12" spans="1:37" ht="43.2">
      <c r="A12" s="75"/>
      <c r="B12" s="105"/>
      <c r="C12" s="75" t="s">
        <v>821</v>
      </c>
      <c r="D12" s="75" t="s">
        <v>820</v>
      </c>
      <c r="E12" s="75" t="s">
        <v>805</v>
      </c>
      <c r="F12" s="120">
        <v>43269</v>
      </c>
      <c r="G12" s="75" t="s">
        <v>97</v>
      </c>
      <c r="H12" s="75" t="s">
        <v>819</v>
      </c>
      <c r="I12" s="75">
        <v>70</v>
      </c>
      <c r="J12" s="75">
        <v>28</v>
      </c>
      <c r="K12" s="119">
        <v>0.6</v>
      </c>
      <c r="L12" s="75"/>
      <c r="M12" s="75"/>
      <c r="N12" s="75"/>
      <c r="W12" s="75"/>
      <c r="X12" s="224" t="s">
        <v>1017</v>
      </c>
      <c r="Y12" s="224" t="s">
        <v>1018</v>
      </c>
      <c r="Z12" s="224" t="s">
        <v>999</v>
      </c>
      <c r="AA12" s="225">
        <v>43285</v>
      </c>
      <c r="AB12" s="224" t="s">
        <v>1019</v>
      </c>
      <c r="AC12" s="224" t="s">
        <v>1020</v>
      </c>
      <c r="AD12" s="224">
        <v>200</v>
      </c>
      <c r="AE12" s="224">
        <v>85</v>
      </c>
      <c r="AF12" s="254">
        <v>0.57499999999999996</v>
      </c>
      <c r="AG12" s="75"/>
      <c r="AH12" s="75"/>
      <c r="AI12" s="48" t="s">
        <v>826</v>
      </c>
      <c r="AJ12" s="186">
        <v>700</v>
      </c>
    </row>
    <row r="13" spans="1:37" ht="28.8">
      <c r="A13" s="75"/>
      <c r="B13" s="105"/>
      <c r="C13" s="75" t="s">
        <v>818</v>
      </c>
      <c r="D13" s="75" t="s">
        <v>817</v>
      </c>
      <c r="E13" s="75" t="s">
        <v>805</v>
      </c>
      <c r="F13" s="120">
        <v>43271</v>
      </c>
      <c r="G13" s="75" t="s">
        <v>816</v>
      </c>
      <c r="H13" s="75" t="s">
        <v>815</v>
      </c>
      <c r="I13" s="75">
        <v>150</v>
      </c>
      <c r="J13" s="75">
        <v>65</v>
      </c>
      <c r="K13" s="119">
        <v>0.56666666666666698</v>
      </c>
      <c r="L13" s="75"/>
      <c r="M13" s="75"/>
      <c r="N13" s="75"/>
      <c r="W13" s="75"/>
      <c r="X13" s="224" t="s">
        <v>1021</v>
      </c>
      <c r="Y13" s="224" t="s">
        <v>1022</v>
      </c>
      <c r="Z13" s="224" t="s">
        <v>805</v>
      </c>
      <c r="AA13" s="225">
        <v>43286</v>
      </c>
      <c r="AB13" s="224" t="s">
        <v>816</v>
      </c>
      <c r="AC13" s="224" t="s">
        <v>1023</v>
      </c>
      <c r="AD13" s="224">
        <v>140</v>
      </c>
      <c r="AE13" s="224">
        <v>58</v>
      </c>
      <c r="AF13" s="254">
        <v>0.5857</v>
      </c>
      <c r="AG13" s="75"/>
      <c r="AH13" s="75"/>
      <c r="AI13" s="48" t="s">
        <v>814</v>
      </c>
      <c r="AJ13" s="186">
        <v>1700</v>
      </c>
    </row>
    <row r="14" spans="1:37" ht="43.2">
      <c r="A14" s="75"/>
      <c r="B14" s="105"/>
      <c r="C14" s="75" t="s">
        <v>814</v>
      </c>
      <c r="D14" s="75" t="s">
        <v>813</v>
      </c>
      <c r="E14" s="75" t="s">
        <v>809</v>
      </c>
      <c r="F14" s="120">
        <v>43272</v>
      </c>
      <c r="G14" s="75" t="s">
        <v>93</v>
      </c>
      <c r="H14" s="75" t="s">
        <v>812</v>
      </c>
      <c r="I14" s="75">
        <v>700</v>
      </c>
      <c r="J14" s="75">
        <v>273</v>
      </c>
      <c r="K14" s="119">
        <v>0.61</v>
      </c>
      <c r="L14" s="75"/>
      <c r="M14" s="75"/>
      <c r="N14" s="75"/>
      <c r="W14" s="75"/>
      <c r="X14" s="224" t="s">
        <v>1024</v>
      </c>
      <c r="Y14" s="224" t="s">
        <v>1025</v>
      </c>
      <c r="Z14" s="224" t="s">
        <v>809</v>
      </c>
      <c r="AA14" s="225">
        <v>43287</v>
      </c>
      <c r="AB14" s="224" t="s">
        <v>1026</v>
      </c>
      <c r="AC14" s="224" t="s">
        <v>1027</v>
      </c>
      <c r="AD14" s="224">
        <v>60</v>
      </c>
      <c r="AE14" s="224">
        <v>21</v>
      </c>
      <c r="AF14" s="254">
        <v>0.65</v>
      </c>
      <c r="AG14" s="75"/>
      <c r="AH14" s="75"/>
      <c r="AI14" s="48" t="s">
        <v>1021</v>
      </c>
      <c r="AJ14" s="186">
        <v>140</v>
      </c>
    </row>
    <row r="15" spans="1:37">
      <c r="A15" s="75"/>
      <c r="B15" s="105"/>
      <c r="C15" s="75" t="s">
        <v>811</v>
      </c>
      <c r="D15" s="75" t="s">
        <v>810</v>
      </c>
      <c r="E15" s="75" t="s">
        <v>809</v>
      </c>
      <c r="F15" s="120">
        <v>43273</v>
      </c>
      <c r="G15" s="75" t="s">
        <v>97</v>
      </c>
      <c r="H15" s="75" t="s">
        <v>808</v>
      </c>
      <c r="I15" s="75">
        <v>150</v>
      </c>
      <c r="J15" s="75">
        <v>45</v>
      </c>
      <c r="K15" s="119">
        <v>0.7</v>
      </c>
      <c r="L15" s="75"/>
      <c r="M15" s="75"/>
      <c r="N15" s="75"/>
      <c r="W15" s="75"/>
      <c r="X15" s="211" t="s">
        <v>838</v>
      </c>
      <c r="Y15" s="211" t="s">
        <v>837</v>
      </c>
      <c r="Z15" s="211" t="s">
        <v>805</v>
      </c>
      <c r="AA15" s="256">
        <v>43261</v>
      </c>
      <c r="AB15" s="211" t="s">
        <v>836</v>
      </c>
      <c r="AC15" s="211" t="s">
        <v>835</v>
      </c>
      <c r="AD15" s="211">
        <v>50</v>
      </c>
      <c r="AE15" s="211">
        <v>20</v>
      </c>
      <c r="AF15" s="257">
        <v>0.6</v>
      </c>
      <c r="AG15" s="75"/>
      <c r="AH15" s="75"/>
      <c r="AI15" s="48" t="s">
        <v>807</v>
      </c>
      <c r="AJ15" s="186">
        <v>50</v>
      </c>
    </row>
    <row r="16" spans="1:37">
      <c r="A16" s="75"/>
      <c r="B16" s="105"/>
      <c r="C16" s="75" t="s">
        <v>807</v>
      </c>
      <c r="D16" s="75" t="s">
        <v>806</v>
      </c>
      <c r="E16" s="75" t="s">
        <v>805</v>
      </c>
      <c r="F16" s="120">
        <v>43274</v>
      </c>
      <c r="G16" s="75" t="s">
        <v>98</v>
      </c>
      <c r="H16" s="75" t="s">
        <v>804</v>
      </c>
      <c r="I16" s="75">
        <v>50</v>
      </c>
      <c r="J16" s="75">
        <v>20</v>
      </c>
      <c r="K16" s="119">
        <v>0.6</v>
      </c>
      <c r="L16" s="75"/>
      <c r="M16" s="75"/>
      <c r="N16" s="75"/>
      <c r="W16" s="75"/>
      <c r="X16" s="211" t="s">
        <v>811</v>
      </c>
      <c r="Y16" s="211" t="s">
        <v>810</v>
      </c>
      <c r="Z16" s="211" t="s">
        <v>809</v>
      </c>
      <c r="AA16" s="256">
        <v>43263</v>
      </c>
      <c r="AB16" s="211" t="s">
        <v>816</v>
      </c>
      <c r="AC16" s="211" t="s">
        <v>834</v>
      </c>
      <c r="AD16" s="211">
        <v>50</v>
      </c>
      <c r="AE16" s="211">
        <v>18</v>
      </c>
      <c r="AF16" s="257">
        <v>0.64</v>
      </c>
      <c r="AG16" s="75"/>
      <c r="AH16" s="75"/>
      <c r="AI16" s="48" t="s">
        <v>818</v>
      </c>
      <c r="AJ16" s="186">
        <v>150</v>
      </c>
    </row>
    <row r="17" spans="1:37">
      <c r="A17" s="75"/>
      <c r="B17" s="105"/>
      <c r="C17" s="75"/>
      <c r="D17" s="75"/>
      <c r="E17" s="75"/>
      <c r="F17" s="75"/>
      <c r="G17" s="75"/>
      <c r="H17" s="75"/>
      <c r="I17" s="75"/>
      <c r="J17" s="75"/>
      <c r="K17" s="75"/>
      <c r="L17" s="75"/>
      <c r="M17" s="75"/>
      <c r="N17" s="75"/>
      <c r="O17" s="75"/>
      <c r="P17" s="75"/>
      <c r="Q17" s="75"/>
      <c r="R17" s="75"/>
      <c r="S17" s="75"/>
      <c r="T17" s="75"/>
      <c r="U17" s="75"/>
      <c r="V17" s="75"/>
      <c r="W17" s="75"/>
      <c r="X17" s="211" t="s">
        <v>811</v>
      </c>
      <c r="Y17" s="211" t="s">
        <v>810</v>
      </c>
      <c r="Z17" s="211" t="s">
        <v>809</v>
      </c>
      <c r="AA17" s="256">
        <v>43264</v>
      </c>
      <c r="AB17" s="211" t="s">
        <v>101</v>
      </c>
      <c r="AC17" s="211" t="s">
        <v>833</v>
      </c>
      <c r="AD17" s="211">
        <v>150</v>
      </c>
      <c r="AE17" s="211">
        <v>68</v>
      </c>
      <c r="AF17" s="257">
        <v>0.54666666666666697</v>
      </c>
      <c r="AG17" s="75"/>
      <c r="AH17" s="75"/>
      <c r="AI17" s="48" t="s">
        <v>1004</v>
      </c>
      <c r="AJ17" s="186">
        <v>60</v>
      </c>
    </row>
    <row r="18" spans="1:37">
      <c r="A18" s="75"/>
      <c r="B18" s="75"/>
      <c r="C18" s="75"/>
      <c r="D18" s="75"/>
      <c r="E18" s="75"/>
      <c r="F18" s="75"/>
      <c r="G18" s="75"/>
      <c r="H18" s="75"/>
      <c r="I18" s="75"/>
      <c r="J18" s="75"/>
      <c r="K18" s="75"/>
      <c r="L18" s="75"/>
      <c r="M18" s="75"/>
      <c r="N18" s="75"/>
      <c r="O18" s="75"/>
      <c r="P18" s="75"/>
      <c r="Q18" s="75"/>
      <c r="R18" s="75"/>
      <c r="S18" s="75"/>
      <c r="T18" s="75"/>
      <c r="U18" s="75"/>
      <c r="V18" s="75"/>
      <c r="W18" s="75"/>
      <c r="X18" s="211" t="s">
        <v>832</v>
      </c>
      <c r="Y18" s="211" t="s">
        <v>831</v>
      </c>
      <c r="Z18" s="211" t="s">
        <v>805</v>
      </c>
      <c r="AA18" s="256">
        <v>43265</v>
      </c>
      <c r="AB18" s="211" t="s">
        <v>101</v>
      </c>
      <c r="AC18" s="211" t="s">
        <v>830</v>
      </c>
      <c r="AD18" s="211">
        <v>500</v>
      </c>
      <c r="AE18" s="211">
        <v>175</v>
      </c>
      <c r="AF18" s="257">
        <v>0.65</v>
      </c>
      <c r="AG18" s="75"/>
      <c r="AH18" s="75"/>
      <c r="AI18" s="48" t="s">
        <v>128</v>
      </c>
      <c r="AJ18" s="186">
        <v>500</v>
      </c>
    </row>
    <row r="19" spans="1:37" ht="25.8">
      <c r="A19" s="82" t="s">
        <v>803</v>
      </c>
      <c r="B19" s="75"/>
      <c r="C19" s="75"/>
      <c r="D19" s="75"/>
      <c r="E19" s="75"/>
      <c r="F19" s="75"/>
      <c r="G19" s="75"/>
      <c r="H19" s="75"/>
      <c r="I19" s="75"/>
      <c r="J19" s="75"/>
      <c r="K19" s="75"/>
      <c r="L19" s="75"/>
      <c r="M19" s="75"/>
      <c r="N19" s="75"/>
      <c r="O19" s="75"/>
      <c r="P19" s="75"/>
      <c r="Q19" s="75"/>
      <c r="R19" s="75"/>
      <c r="S19" s="75"/>
      <c r="T19" s="75"/>
      <c r="U19" s="75"/>
      <c r="V19" s="75"/>
      <c r="W19" s="75"/>
      <c r="X19" s="211" t="s">
        <v>829</v>
      </c>
      <c r="Y19" s="211" t="s">
        <v>828</v>
      </c>
      <c r="Z19" s="211" t="s">
        <v>805</v>
      </c>
      <c r="AA19" s="256">
        <v>43266</v>
      </c>
      <c r="AB19" s="211" t="s">
        <v>101</v>
      </c>
      <c r="AC19" s="211" t="s">
        <v>827</v>
      </c>
      <c r="AD19" s="211">
        <v>30</v>
      </c>
      <c r="AE19" s="211">
        <v>14</v>
      </c>
      <c r="AF19" s="257">
        <v>0.53333333333333299</v>
      </c>
      <c r="AG19" s="75"/>
      <c r="AH19" s="75"/>
      <c r="AI19" s="48" t="s">
        <v>832</v>
      </c>
      <c r="AJ19" s="186">
        <v>500</v>
      </c>
    </row>
    <row r="20" spans="1:37" ht="18">
      <c r="A20" s="75"/>
      <c r="B20" s="75"/>
      <c r="C20" s="112"/>
      <c r="D20" s="118" t="s">
        <v>802</v>
      </c>
      <c r="E20" s="112"/>
      <c r="F20" s="112"/>
      <c r="G20" s="112"/>
      <c r="H20" s="75"/>
      <c r="I20" s="75"/>
      <c r="J20" s="75"/>
      <c r="K20" s="75"/>
      <c r="L20" s="75"/>
      <c r="M20" s="75"/>
      <c r="N20" s="75"/>
      <c r="O20" s="75"/>
      <c r="P20" s="75"/>
      <c r="Q20" s="75"/>
      <c r="R20" s="75"/>
      <c r="S20" s="75"/>
      <c r="T20" s="75"/>
      <c r="U20" s="75"/>
      <c r="V20" s="75"/>
      <c r="W20" s="75"/>
      <c r="X20" s="211" t="s">
        <v>826</v>
      </c>
      <c r="Y20" s="211" t="s">
        <v>825</v>
      </c>
      <c r="Z20" s="211" t="s">
        <v>805</v>
      </c>
      <c r="AA20" s="256">
        <v>43267</v>
      </c>
      <c r="AB20" s="211" t="s">
        <v>824</v>
      </c>
      <c r="AC20" s="211" t="s">
        <v>823</v>
      </c>
      <c r="AD20" s="211">
        <v>700</v>
      </c>
      <c r="AE20" s="211">
        <v>315</v>
      </c>
      <c r="AF20" s="257">
        <v>0.55000000000000004</v>
      </c>
      <c r="AG20" s="75"/>
      <c r="AH20" s="75"/>
      <c r="AI20" s="48" t="s">
        <v>1014</v>
      </c>
      <c r="AJ20" s="186">
        <v>120</v>
      </c>
    </row>
    <row r="21" spans="1:37" ht="18">
      <c r="A21" s="75"/>
      <c r="B21" s="75"/>
      <c r="C21" s="112"/>
      <c r="D21" s="117" t="s">
        <v>801</v>
      </c>
      <c r="E21" s="117" t="s">
        <v>761</v>
      </c>
      <c r="F21" s="112"/>
      <c r="G21" s="112" t="s">
        <v>800</v>
      </c>
      <c r="H21" s="75"/>
      <c r="I21" s="75"/>
      <c r="J21" s="75"/>
      <c r="K21" s="75"/>
      <c r="L21" s="75"/>
      <c r="M21" s="75"/>
      <c r="N21" s="75"/>
      <c r="O21" s="75"/>
      <c r="P21" s="75"/>
      <c r="Q21" s="75"/>
      <c r="R21" s="75"/>
      <c r="S21" s="75"/>
      <c r="T21" s="75"/>
      <c r="U21" s="75"/>
      <c r="V21" s="75"/>
      <c r="W21" s="75"/>
      <c r="X21" s="211" t="s">
        <v>814</v>
      </c>
      <c r="Y21" s="211" t="s">
        <v>813</v>
      </c>
      <c r="Z21" s="211" t="s">
        <v>809</v>
      </c>
      <c r="AA21" s="256">
        <v>43268</v>
      </c>
      <c r="AB21" s="211" t="s">
        <v>88</v>
      </c>
      <c r="AC21" s="211" t="s">
        <v>822</v>
      </c>
      <c r="AD21" s="211">
        <v>1000</v>
      </c>
      <c r="AE21" s="211">
        <v>360</v>
      </c>
      <c r="AF21" s="257">
        <v>0.64</v>
      </c>
      <c r="AG21" s="75"/>
      <c r="AH21" s="75"/>
      <c r="AI21" s="48" t="s">
        <v>1001</v>
      </c>
      <c r="AJ21" s="186">
        <v>1200</v>
      </c>
    </row>
    <row r="22" spans="1:37" ht="15.6">
      <c r="A22" s="75"/>
      <c r="B22" s="75"/>
      <c r="C22" s="112"/>
      <c r="D22" s="116" t="s">
        <v>799</v>
      </c>
      <c r="E22" s="114">
        <v>44790</v>
      </c>
      <c r="F22" s="112"/>
      <c r="G22" s="112" t="s">
        <v>798</v>
      </c>
      <c r="H22" s="75"/>
      <c r="I22" s="75"/>
      <c r="J22" s="75"/>
      <c r="K22" s="75"/>
      <c r="L22" s="75"/>
      <c r="M22" s="75"/>
      <c r="N22" s="75"/>
      <c r="O22" s="75"/>
      <c r="P22" s="75"/>
      <c r="Q22" s="75"/>
      <c r="R22" s="75"/>
      <c r="S22" s="75"/>
      <c r="T22" s="75"/>
      <c r="U22" s="75"/>
      <c r="V22" s="75"/>
      <c r="W22" s="75"/>
      <c r="X22" s="211" t="s">
        <v>821</v>
      </c>
      <c r="Y22" s="211" t="s">
        <v>820</v>
      </c>
      <c r="Z22" s="211" t="s">
        <v>805</v>
      </c>
      <c r="AA22" s="256">
        <v>43269</v>
      </c>
      <c r="AB22" s="211" t="s">
        <v>97</v>
      </c>
      <c r="AC22" s="211" t="s">
        <v>819</v>
      </c>
      <c r="AD22" s="211">
        <v>70</v>
      </c>
      <c r="AE22" s="211">
        <v>28</v>
      </c>
      <c r="AF22" s="257">
        <v>0.6</v>
      </c>
      <c r="AG22" s="75"/>
      <c r="AH22" s="75"/>
      <c r="AI22" s="48" t="s">
        <v>811</v>
      </c>
      <c r="AJ22" s="186">
        <v>350</v>
      </c>
      <c r="AK22" s="75"/>
    </row>
    <row r="23" spans="1:37" ht="15.6">
      <c r="A23" s="75"/>
      <c r="B23" s="75"/>
      <c r="C23" s="112"/>
      <c r="D23" s="116" t="s">
        <v>797</v>
      </c>
      <c r="E23" s="114">
        <v>44876</v>
      </c>
      <c r="F23" s="112"/>
      <c r="G23" s="112"/>
      <c r="H23" s="75"/>
      <c r="I23" s="75"/>
      <c r="J23" s="75"/>
      <c r="K23" s="75"/>
      <c r="L23" s="75"/>
      <c r="M23" s="75"/>
      <c r="N23" s="75"/>
      <c r="O23" s="75"/>
      <c r="P23" s="75"/>
      <c r="Q23" s="75"/>
      <c r="R23" s="75"/>
      <c r="S23" s="75"/>
      <c r="T23" s="75"/>
      <c r="U23" s="75"/>
      <c r="V23" s="75"/>
      <c r="W23" s="75"/>
      <c r="X23" s="211" t="s">
        <v>818</v>
      </c>
      <c r="Y23" s="211" t="s">
        <v>817</v>
      </c>
      <c r="Z23" s="211" t="s">
        <v>805</v>
      </c>
      <c r="AA23" s="256">
        <v>43271</v>
      </c>
      <c r="AB23" s="211" t="s">
        <v>816</v>
      </c>
      <c r="AC23" s="211" t="s">
        <v>815</v>
      </c>
      <c r="AD23" s="211">
        <v>150</v>
      </c>
      <c r="AE23" s="211">
        <v>65</v>
      </c>
      <c r="AF23" s="257">
        <v>0.56666666666666698</v>
      </c>
      <c r="AG23" s="75"/>
      <c r="AH23" s="75"/>
      <c r="AI23" s="48" t="s">
        <v>829</v>
      </c>
      <c r="AJ23" s="186">
        <v>30</v>
      </c>
      <c r="AK23" s="75"/>
    </row>
    <row r="24" spans="1:37" ht="15.6">
      <c r="A24" s="75"/>
      <c r="B24" s="75"/>
      <c r="C24" s="112"/>
      <c r="D24" s="116" t="s">
        <v>796</v>
      </c>
      <c r="E24" s="114">
        <v>44898</v>
      </c>
      <c r="F24" s="112"/>
      <c r="G24" s="112"/>
      <c r="H24" s="75"/>
      <c r="I24" s="75"/>
      <c r="J24" s="75"/>
      <c r="K24" s="75"/>
      <c r="L24" s="75"/>
      <c r="M24" s="75"/>
      <c r="N24" s="75"/>
      <c r="O24" s="75"/>
      <c r="P24" s="75"/>
      <c r="Q24" s="75"/>
      <c r="R24" s="75"/>
      <c r="S24" s="75"/>
      <c r="T24" s="75"/>
      <c r="U24" s="75"/>
      <c r="V24" s="75"/>
      <c r="W24" s="75"/>
      <c r="X24" s="211" t="s">
        <v>814</v>
      </c>
      <c r="Y24" s="211" t="s">
        <v>813</v>
      </c>
      <c r="Z24" s="211" t="s">
        <v>809</v>
      </c>
      <c r="AA24" s="256">
        <v>43272</v>
      </c>
      <c r="AB24" s="211" t="s">
        <v>93</v>
      </c>
      <c r="AC24" s="211" t="s">
        <v>812</v>
      </c>
      <c r="AD24" s="211">
        <v>700</v>
      </c>
      <c r="AE24" s="211">
        <v>273</v>
      </c>
      <c r="AF24" s="257">
        <v>0.61</v>
      </c>
      <c r="AG24" s="75"/>
      <c r="AH24" s="75"/>
      <c r="AI24" s="48" t="s">
        <v>994</v>
      </c>
      <c r="AJ24" s="186">
        <v>80</v>
      </c>
      <c r="AK24" s="75"/>
    </row>
    <row r="25" spans="1:37" ht="15.6">
      <c r="A25" s="75"/>
      <c r="B25" s="75"/>
      <c r="C25" s="112"/>
      <c r="D25" s="116" t="s">
        <v>795</v>
      </c>
      <c r="E25" s="114">
        <v>44914</v>
      </c>
      <c r="F25" s="112"/>
      <c r="G25" s="112"/>
      <c r="H25" s="75"/>
      <c r="I25" s="75"/>
      <c r="J25" s="75"/>
      <c r="K25" s="75"/>
      <c r="L25" s="75"/>
      <c r="M25" s="75"/>
      <c r="N25" s="75"/>
      <c r="O25" s="75"/>
      <c r="P25" s="75"/>
      <c r="Q25" s="75"/>
      <c r="R25" s="75"/>
      <c r="S25" s="75"/>
      <c r="T25" s="75"/>
      <c r="U25" s="75"/>
      <c r="V25" s="75"/>
      <c r="W25" s="75"/>
      <c r="X25" s="211" t="s">
        <v>811</v>
      </c>
      <c r="Y25" s="211" t="s">
        <v>810</v>
      </c>
      <c r="Z25" s="211" t="s">
        <v>809</v>
      </c>
      <c r="AA25" s="256">
        <v>43273</v>
      </c>
      <c r="AB25" s="211" t="s">
        <v>97</v>
      </c>
      <c r="AC25" s="211" t="s">
        <v>808</v>
      </c>
      <c r="AD25" s="211">
        <v>150</v>
      </c>
      <c r="AE25" s="211">
        <v>45</v>
      </c>
      <c r="AF25" s="257">
        <v>0.7</v>
      </c>
      <c r="AG25" s="75"/>
      <c r="AH25" s="75"/>
      <c r="AI25" s="48" t="s">
        <v>1017</v>
      </c>
      <c r="AJ25" s="186">
        <v>200</v>
      </c>
      <c r="AK25" s="75"/>
    </row>
    <row r="26" spans="1:37" ht="15.6">
      <c r="A26" s="75"/>
      <c r="B26" s="75"/>
      <c r="C26" s="112"/>
      <c r="D26" s="116" t="s">
        <v>794</v>
      </c>
      <c r="E26" s="114">
        <v>44953</v>
      </c>
      <c r="F26" s="112"/>
      <c r="G26" s="112"/>
      <c r="H26" s="75"/>
      <c r="I26" s="75"/>
      <c r="J26" s="75"/>
      <c r="K26" s="75"/>
      <c r="L26" s="75"/>
      <c r="M26" s="75"/>
      <c r="N26" s="75"/>
      <c r="O26" s="75"/>
      <c r="P26" s="75"/>
      <c r="Q26" s="75"/>
      <c r="R26" s="75"/>
      <c r="S26" s="75"/>
      <c r="T26" s="75"/>
      <c r="U26" s="75"/>
      <c r="V26" s="75"/>
      <c r="W26" s="75"/>
      <c r="X26" s="211" t="s">
        <v>807</v>
      </c>
      <c r="Y26" s="211" t="s">
        <v>806</v>
      </c>
      <c r="Z26" s="211" t="s">
        <v>805</v>
      </c>
      <c r="AA26" s="256">
        <v>43274</v>
      </c>
      <c r="AB26" s="211" t="s">
        <v>98</v>
      </c>
      <c r="AC26" s="211" t="s">
        <v>804</v>
      </c>
      <c r="AD26" s="211">
        <v>50</v>
      </c>
      <c r="AE26" s="211">
        <v>20</v>
      </c>
      <c r="AF26" s="257">
        <v>0.6</v>
      </c>
      <c r="AG26" s="75"/>
      <c r="AH26" s="75"/>
      <c r="AI26" s="48" t="s">
        <v>948</v>
      </c>
      <c r="AJ26" s="186">
        <v>6830</v>
      </c>
      <c r="AK26" s="75"/>
    </row>
    <row r="27" spans="1:37" ht="15.6">
      <c r="A27" s="75"/>
      <c r="B27" s="75"/>
      <c r="C27" s="112"/>
      <c r="D27" s="112"/>
      <c r="E27" s="112"/>
      <c r="F27" s="112"/>
      <c r="G27" s="112"/>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c r="AI27" s="75"/>
      <c r="AJ27" s="75"/>
      <c r="AK27" s="75"/>
    </row>
    <row r="28" spans="1:37" ht="18">
      <c r="A28" s="75"/>
      <c r="B28" s="75"/>
      <c r="C28" s="112"/>
      <c r="D28" s="115" t="s">
        <v>793</v>
      </c>
      <c r="E28" s="114">
        <v>44879</v>
      </c>
      <c r="F28" s="112"/>
      <c r="G28" s="112"/>
      <c r="H28" s="75"/>
      <c r="I28" s="75"/>
      <c r="J28" s="75"/>
      <c r="K28" s="75"/>
      <c r="L28" s="75"/>
      <c r="M28" s="75"/>
      <c r="N28" s="75"/>
      <c r="O28" s="75"/>
      <c r="P28" s="75"/>
      <c r="Q28" s="75"/>
      <c r="R28" s="75"/>
      <c r="S28" s="75"/>
      <c r="T28" s="75"/>
      <c r="U28" s="75"/>
      <c r="V28" s="75"/>
      <c r="W28" s="75"/>
      <c r="X28" s="75"/>
      <c r="Y28" s="75"/>
      <c r="Z28" s="75"/>
      <c r="AA28" s="75"/>
      <c r="AB28" s="75"/>
      <c r="AC28" s="75"/>
      <c r="AD28" s="75"/>
      <c r="AE28" s="75"/>
      <c r="AF28" s="75"/>
      <c r="AG28" s="75"/>
      <c r="AH28" s="75"/>
      <c r="AI28" s="75"/>
      <c r="AJ28" s="75"/>
      <c r="AK28" s="75"/>
    </row>
    <row r="29" spans="1:37" ht="18">
      <c r="A29" s="75"/>
      <c r="B29" s="75"/>
      <c r="C29" s="112"/>
      <c r="D29" s="113" t="s">
        <v>792</v>
      </c>
      <c r="E29" s="188" t="str">
        <f>INDEX(D22:D26, MATCH(E30, E22:E26, 0))</f>
        <v>Hawkings</v>
      </c>
      <c r="F29" s="112"/>
      <c r="G29" s="112"/>
      <c r="H29" s="75"/>
      <c r="I29" s="75"/>
      <c r="J29" s="75"/>
      <c r="K29" s="75"/>
      <c r="L29" s="75"/>
      <c r="M29" s="75"/>
      <c r="N29" s="75"/>
      <c r="O29" s="75"/>
      <c r="P29" s="75"/>
      <c r="Q29" s="75"/>
      <c r="R29" s="75"/>
      <c r="S29" s="75"/>
      <c r="T29" s="75"/>
      <c r="U29" s="75"/>
      <c r="V29" s="75"/>
      <c r="W29" s="75"/>
      <c r="X29" s="75"/>
      <c r="Y29" s="75"/>
      <c r="Z29" s="75"/>
      <c r="AA29" s="75"/>
      <c r="AB29" s="75"/>
      <c r="AC29" s="75"/>
      <c r="AD29" s="75"/>
      <c r="AE29" s="75"/>
      <c r="AF29" s="75"/>
      <c r="AG29" s="75"/>
      <c r="AH29" s="75"/>
      <c r="AI29" s="75"/>
      <c r="AJ29" s="75"/>
      <c r="AK29" s="75"/>
    </row>
    <row r="30" spans="1:37" ht="18">
      <c r="A30" s="75"/>
      <c r="B30" s="75"/>
      <c r="C30" s="112"/>
      <c r="D30" s="113" t="s">
        <v>791</v>
      </c>
      <c r="E30" s="189" cm="1">
        <f t="array" ref="E30">MIN(IF(E22:E26&gt;E28,E22:E26))</f>
        <v>44898</v>
      </c>
      <c r="F30" s="112"/>
      <c r="G30" s="112"/>
      <c r="H30" s="75"/>
      <c r="I30" s="75"/>
      <c r="J30" s="75"/>
      <c r="K30" s="75"/>
      <c r="L30" s="75"/>
      <c r="M30" s="75"/>
      <c r="N30" s="75"/>
      <c r="O30" s="75"/>
      <c r="P30" s="75"/>
      <c r="Q30" s="75"/>
      <c r="R30" s="75"/>
      <c r="S30" s="75"/>
      <c r="T30" s="75"/>
      <c r="U30" s="75"/>
      <c r="V30" s="75"/>
      <c r="W30" s="75"/>
      <c r="X30" s="75"/>
      <c r="Y30" s="75"/>
      <c r="Z30" s="75"/>
      <c r="AA30" s="75"/>
      <c r="AB30" s="75"/>
      <c r="AC30" s="75"/>
      <c r="AD30" s="75"/>
      <c r="AE30" s="75"/>
      <c r="AF30" s="75"/>
      <c r="AG30" s="75"/>
      <c r="AH30" s="75"/>
      <c r="AI30" s="75"/>
      <c r="AJ30" s="75"/>
      <c r="AK30" s="75"/>
    </row>
    <row r="31" spans="1:37" ht="15.6">
      <c r="A31" s="75"/>
      <c r="B31" s="75"/>
      <c r="C31" s="112"/>
      <c r="D31" s="112"/>
      <c r="E31" s="112"/>
      <c r="F31" s="112"/>
      <c r="G31" s="112"/>
      <c r="H31" s="75"/>
      <c r="I31" s="75"/>
      <c r="J31" s="75"/>
      <c r="K31" s="75"/>
      <c r="L31" s="75"/>
      <c r="M31" s="75"/>
      <c r="N31" s="75"/>
      <c r="O31" s="75"/>
      <c r="P31" s="75"/>
      <c r="Q31" s="75"/>
      <c r="R31" s="75"/>
      <c r="S31" s="75"/>
      <c r="T31" s="75"/>
      <c r="U31" s="75"/>
      <c r="V31" s="75"/>
      <c r="W31" s="75"/>
      <c r="X31" s="75"/>
      <c r="Y31" s="75"/>
      <c r="Z31" s="75"/>
      <c r="AA31" s="75"/>
      <c r="AB31" s="75"/>
      <c r="AC31" s="75"/>
      <c r="AD31" s="75"/>
      <c r="AE31" s="75"/>
      <c r="AF31" s="75"/>
      <c r="AG31" s="75"/>
      <c r="AH31" s="75"/>
      <c r="AI31" s="75"/>
      <c r="AJ31" s="75"/>
      <c r="AK31" s="75"/>
    </row>
    <row r="32" spans="1:37">
      <c r="A32" s="75"/>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5"/>
      <c r="AD32" s="75"/>
      <c r="AE32" s="75"/>
      <c r="AF32" s="75"/>
      <c r="AG32" s="75"/>
      <c r="AH32" s="75"/>
      <c r="AI32" s="75"/>
      <c r="AJ32" s="75"/>
      <c r="AK32" s="75"/>
    </row>
    <row r="33" spans="1:37">
      <c r="A33" s="75"/>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5"/>
      <c r="AD33" s="75"/>
      <c r="AE33" s="75"/>
      <c r="AF33" s="75"/>
      <c r="AG33" s="75"/>
      <c r="AH33" s="75"/>
      <c r="AI33" s="75"/>
      <c r="AJ33" s="75"/>
      <c r="AK33" s="75"/>
    </row>
    <row r="34" spans="1:37">
      <c r="A34" s="75"/>
      <c r="B34" s="75"/>
      <c r="C34" s="75"/>
      <c r="D34" s="75"/>
      <c r="E34" s="75"/>
      <c r="F34" s="75"/>
      <c r="G34" s="75"/>
      <c r="H34" s="75"/>
      <c r="I34" s="75"/>
      <c r="J34" s="75"/>
      <c r="K34" s="75"/>
      <c r="L34" s="75"/>
      <c r="M34" s="75"/>
      <c r="N34" s="75"/>
      <c r="O34" s="75"/>
      <c r="P34" s="75"/>
      <c r="Q34" s="75"/>
      <c r="R34" s="75"/>
      <c r="S34" s="75"/>
      <c r="T34" s="75"/>
      <c r="U34" s="75"/>
      <c r="V34" s="75"/>
      <c r="W34" s="75"/>
      <c r="X34" s="75"/>
      <c r="Y34" s="75"/>
      <c r="Z34" s="75"/>
      <c r="AA34" s="75"/>
      <c r="AB34" s="75"/>
      <c r="AC34" s="75"/>
      <c r="AD34" s="75"/>
      <c r="AE34" s="75"/>
      <c r="AF34" s="75"/>
      <c r="AG34" s="75"/>
      <c r="AH34" s="75"/>
      <c r="AI34" s="75"/>
      <c r="AJ34" s="75"/>
      <c r="AK34" s="75"/>
    </row>
  </sheetData>
  <mergeCells count="1">
    <mergeCell ref="B2:K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78F49-4733-4D8E-902F-F2429962C461}">
  <sheetPr>
    <tabColor theme="3" tint="0.749992370372631"/>
  </sheetPr>
  <dimension ref="A1:AH46"/>
  <sheetViews>
    <sheetView zoomScale="75" workbookViewId="0">
      <selection activeCell="I29" sqref="I29:J41"/>
    </sheetView>
  </sheetViews>
  <sheetFormatPr defaultRowHeight="14.4"/>
  <cols>
    <col min="2" max="2" width="15.88671875" customWidth="1"/>
    <col min="3" max="3" width="15.6640625" customWidth="1"/>
    <col min="4" max="4" width="14.33203125" customWidth="1"/>
    <col min="5" max="5" width="18.44140625" customWidth="1"/>
    <col min="7" max="7" width="14.44140625" customWidth="1"/>
    <col min="8" max="8" width="10.5546875" bestFit="1" customWidth="1"/>
    <col min="9" max="9" width="12.6640625" customWidth="1"/>
    <col min="10" max="10" width="15.33203125" customWidth="1"/>
  </cols>
  <sheetData>
    <row r="1" spans="1:34" ht="23.4">
      <c r="A1" s="86" t="s">
        <v>891</v>
      </c>
      <c r="B1" s="75"/>
      <c r="C1" s="75"/>
      <c r="D1" s="75"/>
      <c r="E1" s="75"/>
      <c r="F1" s="75"/>
      <c r="G1" s="75"/>
      <c r="H1" s="75"/>
      <c r="I1" s="75"/>
      <c r="J1" s="75"/>
      <c r="K1" s="75"/>
      <c r="L1" s="75"/>
      <c r="M1" s="75"/>
      <c r="N1" s="75"/>
      <c r="O1" s="75"/>
      <c r="P1" s="75"/>
      <c r="Q1" s="75"/>
      <c r="R1" s="75"/>
      <c r="S1" s="75"/>
      <c r="T1" s="75"/>
      <c r="U1" s="75"/>
      <c r="V1" s="75"/>
      <c r="W1" s="75"/>
      <c r="X1" s="75"/>
      <c r="Y1" s="75"/>
      <c r="Z1" s="75"/>
      <c r="AA1" s="75"/>
      <c r="AB1" s="75"/>
      <c r="AC1" s="75"/>
      <c r="AD1" s="75"/>
      <c r="AE1" s="75"/>
      <c r="AF1" s="75"/>
      <c r="AG1" s="75"/>
      <c r="AH1" s="75"/>
    </row>
    <row r="2" spans="1:34" ht="18">
      <c r="A2" s="112"/>
      <c r="B2" s="118" t="s">
        <v>890</v>
      </c>
      <c r="C2" s="112"/>
      <c r="D2" s="112"/>
      <c r="E2" s="112">
        <v>1</v>
      </c>
      <c r="F2" s="112">
        <v>2</v>
      </c>
      <c r="G2" s="112"/>
      <c r="H2" s="112"/>
      <c r="I2" s="112"/>
      <c r="J2" s="112"/>
      <c r="K2" s="112"/>
      <c r="L2" s="112"/>
      <c r="M2" s="112"/>
      <c r="N2" s="112"/>
      <c r="O2" s="112"/>
      <c r="P2" s="112"/>
      <c r="Q2" s="112"/>
      <c r="R2" s="112"/>
      <c r="S2" s="112"/>
      <c r="T2" s="112"/>
      <c r="U2" s="112"/>
      <c r="V2" s="112"/>
      <c r="W2" s="112"/>
      <c r="X2" s="112"/>
      <c r="Y2" s="112"/>
      <c r="Z2" s="112"/>
      <c r="AA2" s="112"/>
      <c r="AB2" s="112"/>
      <c r="AC2" s="112"/>
      <c r="AD2" s="112"/>
      <c r="AE2" s="112"/>
      <c r="AF2" s="112"/>
      <c r="AG2" s="112"/>
      <c r="AH2" s="112"/>
    </row>
    <row r="3" spans="1:34" ht="18">
      <c r="A3" s="75"/>
      <c r="B3" s="117" t="s">
        <v>886</v>
      </c>
      <c r="C3" s="117" t="s">
        <v>460</v>
      </c>
      <c r="D3" s="117" t="s">
        <v>456</v>
      </c>
      <c r="E3" s="113" t="s">
        <v>889</v>
      </c>
      <c r="F3" s="112"/>
      <c r="G3" s="112"/>
      <c r="H3" s="75"/>
      <c r="I3" s="75"/>
      <c r="J3" s="75"/>
      <c r="K3" s="75"/>
      <c r="L3" s="75"/>
      <c r="M3" s="75"/>
      <c r="N3" s="75"/>
      <c r="O3" s="75"/>
      <c r="P3" s="75"/>
      <c r="Q3" s="75"/>
      <c r="R3" s="75"/>
      <c r="S3" s="75"/>
      <c r="T3" s="75"/>
      <c r="U3" s="75"/>
      <c r="V3" s="75"/>
      <c r="W3" s="75"/>
      <c r="X3" s="75"/>
      <c r="Y3" s="75"/>
      <c r="Z3" s="75"/>
      <c r="AA3" s="75"/>
      <c r="AB3" s="75"/>
      <c r="AC3" s="75"/>
      <c r="AD3" s="75"/>
      <c r="AE3" s="75"/>
      <c r="AF3" s="75"/>
      <c r="AG3" s="75"/>
      <c r="AH3" s="75"/>
    </row>
    <row r="4" spans="1:34" ht="15.6">
      <c r="A4" s="75"/>
      <c r="B4" s="116" t="s">
        <v>799</v>
      </c>
      <c r="C4" s="116">
        <v>67</v>
      </c>
      <c r="D4" s="116">
        <v>82</v>
      </c>
      <c r="E4" s="203" t="str">
        <f>IF(AND(C4=100,D4=100),"Yes","No")</f>
        <v>No</v>
      </c>
      <c r="F4" s="206">
        <f>C4 + D4</f>
        <v>149</v>
      </c>
      <c r="G4" s="112"/>
      <c r="H4" s="75"/>
      <c r="I4" s="75"/>
      <c r="J4" s="75"/>
      <c r="K4" s="75"/>
      <c r="L4" s="75"/>
      <c r="M4" s="75"/>
      <c r="N4" s="75"/>
      <c r="O4" s="75"/>
      <c r="P4" s="75"/>
      <c r="Q4" s="75"/>
      <c r="R4" s="75"/>
      <c r="S4" s="75"/>
      <c r="T4" s="75"/>
      <c r="U4" s="75"/>
      <c r="V4" s="75"/>
      <c r="W4" s="75"/>
      <c r="X4" s="75"/>
      <c r="Y4" s="75"/>
      <c r="Z4" s="75"/>
      <c r="AA4" s="75"/>
      <c r="AB4" s="75"/>
      <c r="AC4" s="75"/>
      <c r="AD4" s="75"/>
      <c r="AE4" s="75"/>
      <c r="AF4" s="75"/>
      <c r="AG4" s="75"/>
      <c r="AH4" s="75"/>
    </row>
    <row r="5" spans="1:34" ht="15.6">
      <c r="A5" s="75"/>
      <c r="B5" s="116" t="s">
        <v>797</v>
      </c>
      <c r="C5" s="116">
        <v>82</v>
      </c>
      <c r="D5" s="116">
        <v>87</v>
      </c>
      <c r="E5" s="203" t="str">
        <f t="shared" ref="E5:E9" si="0">IF(AND(C5=100,D5=100),"Yes","No")</f>
        <v>No</v>
      </c>
      <c r="F5" s="206">
        <f t="shared" ref="F5:F9" si="1">C5 + D5</f>
        <v>169</v>
      </c>
      <c r="G5" s="202" t="s">
        <v>888</v>
      </c>
      <c r="H5" s="75"/>
      <c r="I5" s="75"/>
      <c r="J5" s="75"/>
      <c r="K5" s="75"/>
      <c r="L5" s="75"/>
      <c r="M5" s="75"/>
      <c r="N5" s="75"/>
      <c r="O5" s="75"/>
      <c r="P5" s="75"/>
      <c r="Q5" s="75"/>
      <c r="R5" s="75"/>
      <c r="S5" s="75"/>
      <c r="T5" s="75"/>
      <c r="U5" s="75"/>
      <c r="V5" s="75"/>
      <c r="W5" s="75"/>
      <c r="X5" s="75"/>
      <c r="Y5" s="75"/>
      <c r="Z5" s="75"/>
      <c r="AA5" s="75"/>
      <c r="AB5" s="75"/>
      <c r="AC5" s="75"/>
      <c r="AD5" s="75"/>
      <c r="AE5" s="75"/>
      <c r="AF5" s="75"/>
      <c r="AG5" s="75"/>
      <c r="AH5" s="75"/>
    </row>
    <row r="6" spans="1:34" ht="15.6">
      <c r="A6" s="75"/>
      <c r="B6" s="116" t="s">
        <v>796</v>
      </c>
      <c r="C6" s="116">
        <v>46</v>
      </c>
      <c r="D6" s="116">
        <v>65</v>
      </c>
      <c r="E6" s="203" t="str">
        <f t="shared" si="0"/>
        <v>No</v>
      </c>
      <c r="F6" s="206">
        <f t="shared" si="1"/>
        <v>111</v>
      </c>
      <c r="G6" s="112"/>
      <c r="H6" s="75"/>
      <c r="I6" s="75"/>
      <c r="J6" s="75"/>
      <c r="K6" s="75"/>
      <c r="L6" s="75"/>
      <c r="M6" s="75"/>
      <c r="N6" s="75"/>
      <c r="O6" s="75"/>
      <c r="P6" s="75"/>
      <c r="Q6" s="75"/>
      <c r="R6" s="75"/>
      <c r="S6" s="75"/>
      <c r="T6" s="75"/>
      <c r="U6" s="75"/>
      <c r="V6" s="75"/>
      <c r="W6" s="75"/>
      <c r="X6" s="75"/>
      <c r="Y6" s="75"/>
      <c r="Z6" s="75"/>
      <c r="AA6" s="75"/>
      <c r="AB6" s="75"/>
      <c r="AC6" s="75"/>
      <c r="AD6" s="75"/>
      <c r="AE6" s="75"/>
      <c r="AF6" s="75"/>
      <c r="AG6" s="75"/>
      <c r="AH6" s="75"/>
    </row>
    <row r="7" spans="1:34" ht="15.6">
      <c r="A7" s="75"/>
      <c r="B7" s="116" t="s">
        <v>795</v>
      </c>
      <c r="C7" s="116">
        <v>63</v>
      </c>
      <c r="D7" s="116">
        <v>81</v>
      </c>
      <c r="E7" s="203" t="str">
        <f t="shared" si="0"/>
        <v>No</v>
      </c>
      <c r="F7" s="206">
        <f t="shared" si="1"/>
        <v>144</v>
      </c>
      <c r="G7" s="112"/>
      <c r="H7" s="75"/>
      <c r="I7" s="75"/>
      <c r="J7" s="75"/>
      <c r="K7" s="75"/>
      <c r="L7" s="75"/>
      <c r="M7" s="75"/>
      <c r="N7" s="75"/>
      <c r="O7" s="75"/>
      <c r="P7" s="75"/>
      <c r="Q7" s="75"/>
      <c r="R7" s="75"/>
      <c r="S7" s="75"/>
      <c r="T7" s="75"/>
      <c r="U7" s="75"/>
      <c r="V7" s="75"/>
      <c r="W7" s="75"/>
      <c r="X7" s="75"/>
      <c r="Y7" s="75"/>
      <c r="Z7" s="75"/>
      <c r="AA7" s="75"/>
      <c r="AB7" s="75"/>
      <c r="AC7" s="75"/>
      <c r="AD7" s="75"/>
      <c r="AE7" s="75"/>
      <c r="AF7" s="75"/>
      <c r="AG7" s="75"/>
      <c r="AH7" s="75"/>
    </row>
    <row r="8" spans="1:34" ht="15.6">
      <c r="A8" s="75"/>
      <c r="B8" s="116" t="s">
        <v>887</v>
      </c>
      <c r="C8" s="116">
        <v>100</v>
      </c>
      <c r="D8" s="116">
        <v>100</v>
      </c>
      <c r="E8" s="203" t="str">
        <f t="shared" si="0"/>
        <v>Yes</v>
      </c>
      <c r="F8" s="206">
        <f t="shared" si="1"/>
        <v>200</v>
      </c>
      <c r="G8" s="205" t="s">
        <v>972</v>
      </c>
      <c r="H8" s="205"/>
      <c r="I8" s="205"/>
      <c r="J8" s="205"/>
      <c r="K8" s="205"/>
      <c r="L8" s="75"/>
      <c r="M8" s="75"/>
      <c r="N8" s="75"/>
      <c r="O8" s="75"/>
      <c r="P8" s="75"/>
      <c r="Q8" s="75"/>
      <c r="R8" s="75"/>
      <c r="S8" s="75"/>
      <c r="T8" s="75"/>
      <c r="U8" s="75"/>
      <c r="V8" s="75"/>
      <c r="W8" s="75"/>
      <c r="X8" s="75"/>
      <c r="Y8" s="75"/>
      <c r="Z8" s="75"/>
      <c r="AA8" s="75"/>
      <c r="AB8" s="75"/>
      <c r="AC8" s="75"/>
      <c r="AD8" s="75"/>
      <c r="AE8" s="75"/>
      <c r="AF8" s="75"/>
      <c r="AG8" s="75"/>
      <c r="AH8" s="75"/>
    </row>
    <row r="9" spans="1:34" ht="15.6">
      <c r="A9" s="75"/>
      <c r="B9" s="116" t="s">
        <v>863</v>
      </c>
      <c r="C9" s="116">
        <v>58</v>
      </c>
      <c r="D9" s="116">
        <v>90</v>
      </c>
      <c r="E9" s="203" t="str">
        <f t="shared" si="0"/>
        <v>No</v>
      </c>
      <c r="F9" s="206">
        <f t="shared" si="1"/>
        <v>148</v>
      </c>
      <c r="G9" s="112"/>
      <c r="H9" s="75"/>
      <c r="I9" s="75"/>
      <c r="J9" s="75"/>
      <c r="K9" s="75"/>
      <c r="L9" s="75"/>
      <c r="M9" s="75"/>
      <c r="N9" s="75"/>
      <c r="O9" s="75"/>
      <c r="P9" s="75"/>
      <c r="Q9" s="75"/>
      <c r="R9" s="75"/>
      <c r="S9" s="75"/>
      <c r="T9" s="75"/>
      <c r="U9" s="75"/>
      <c r="V9" s="75"/>
      <c r="W9" s="75"/>
      <c r="X9" s="75"/>
      <c r="Y9" s="75"/>
      <c r="Z9" s="75"/>
      <c r="AA9" s="75"/>
      <c r="AB9" s="75"/>
      <c r="AC9" s="75"/>
      <c r="AD9" s="75"/>
      <c r="AE9" s="75"/>
      <c r="AF9" s="75"/>
      <c r="AG9" s="75"/>
      <c r="AH9" s="75"/>
    </row>
    <row r="10" spans="1:34" ht="15.6">
      <c r="A10" s="75"/>
      <c r="B10" s="112"/>
      <c r="C10" s="112"/>
      <c r="D10" s="112"/>
      <c r="E10" s="112"/>
      <c r="F10" s="112"/>
      <c r="G10" s="112"/>
      <c r="H10" s="75"/>
      <c r="I10" s="75"/>
      <c r="J10" s="75"/>
      <c r="K10" s="75"/>
      <c r="L10" s="75"/>
      <c r="M10" s="75"/>
      <c r="N10" s="75"/>
      <c r="O10" s="75"/>
      <c r="P10" s="75"/>
      <c r="Q10" s="75"/>
      <c r="R10" s="75"/>
      <c r="S10" s="75"/>
      <c r="T10" s="75"/>
      <c r="U10" s="75"/>
      <c r="V10" s="75"/>
      <c r="W10" s="75"/>
      <c r="X10" s="75"/>
      <c r="Y10" s="75"/>
      <c r="Z10" s="75"/>
      <c r="AA10" s="75"/>
      <c r="AB10" s="75"/>
      <c r="AC10" s="75"/>
      <c r="AD10" s="75"/>
      <c r="AE10" s="75"/>
      <c r="AF10" s="75"/>
      <c r="AG10" s="75"/>
      <c r="AH10" s="75"/>
    </row>
    <row r="11" spans="1:34" ht="18">
      <c r="A11" s="75"/>
      <c r="B11" s="113" t="s">
        <v>886</v>
      </c>
      <c r="C11" s="112"/>
      <c r="D11" s="112"/>
      <c r="E11" s="112"/>
      <c r="F11" s="112"/>
      <c r="G11" s="112"/>
      <c r="H11" s="75"/>
      <c r="I11" s="75"/>
      <c r="J11" s="75"/>
      <c r="K11" s="75"/>
      <c r="L11" s="75"/>
      <c r="M11" s="75"/>
      <c r="N11" s="75"/>
      <c r="O11" s="75"/>
      <c r="P11" s="75"/>
      <c r="Q11" s="75"/>
      <c r="R11" s="75"/>
      <c r="S11" s="75"/>
      <c r="T11" s="75"/>
      <c r="U11" s="75"/>
      <c r="V11" s="75"/>
      <c r="W11" s="75"/>
      <c r="X11" s="75"/>
      <c r="Y11" s="75"/>
      <c r="Z11" s="75"/>
      <c r="AA11" s="75"/>
      <c r="AB11" s="75"/>
      <c r="AC11" s="75"/>
      <c r="AD11" s="75"/>
      <c r="AE11" s="75"/>
      <c r="AF11" s="75"/>
      <c r="AG11" s="75"/>
      <c r="AH11" s="75"/>
    </row>
    <row r="12" spans="1:34" ht="18">
      <c r="A12" s="75"/>
      <c r="B12" s="204" t="str">
        <f>INDEX(B4:B9, MATCH("Yes", E4:E9, 0))</f>
        <v>Richards</v>
      </c>
      <c r="C12" s="112"/>
      <c r="D12" s="112"/>
      <c r="E12" s="112"/>
      <c r="F12" s="206" t="str">
        <f>INDEX(B4:B9, MATCH(200, F4:F9, 0))</f>
        <v>Richards</v>
      </c>
      <c r="G12" s="112"/>
      <c r="H12" s="75"/>
      <c r="I12" s="75"/>
      <c r="J12" s="75"/>
      <c r="K12" s="75"/>
      <c r="L12" s="75"/>
      <c r="M12" s="75"/>
      <c r="N12" s="75"/>
      <c r="O12" s="75"/>
      <c r="P12" s="75"/>
      <c r="Q12" s="75"/>
      <c r="R12" s="75"/>
      <c r="S12" s="75"/>
      <c r="T12" s="75"/>
      <c r="U12" s="75"/>
      <c r="V12" s="75"/>
      <c r="W12" s="75"/>
      <c r="X12" s="75"/>
      <c r="Y12" s="75"/>
      <c r="Z12" s="75"/>
      <c r="AA12" s="75"/>
      <c r="AB12" s="75"/>
      <c r="AC12" s="75"/>
      <c r="AD12" s="75"/>
      <c r="AE12" s="75"/>
      <c r="AF12" s="75"/>
      <c r="AG12" s="75"/>
      <c r="AH12" s="75"/>
    </row>
    <row r="13" spans="1:34" ht="15.6">
      <c r="A13" s="75"/>
      <c r="B13" s="112"/>
      <c r="C13" s="112"/>
      <c r="D13" s="112"/>
      <c r="E13" s="112"/>
      <c r="F13" s="112"/>
      <c r="G13" s="112"/>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row>
    <row r="14" spans="1:34">
      <c r="A14" s="75"/>
      <c r="B14" s="75"/>
      <c r="C14" s="75"/>
      <c r="D14" s="75"/>
      <c r="E14" s="75"/>
      <c r="F14" s="75"/>
      <c r="G14" s="75"/>
      <c r="H14" s="75"/>
      <c r="I14" s="75"/>
      <c r="J14" s="75"/>
      <c r="K14" s="75"/>
      <c r="L14" s="75"/>
      <c r="M14" s="75"/>
      <c r="N14" s="75"/>
      <c r="O14" s="75"/>
      <c r="P14" s="75"/>
      <c r="Q14" s="75"/>
      <c r="R14" s="75"/>
      <c r="S14" s="75"/>
      <c r="T14" s="75"/>
      <c r="U14" s="75"/>
      <c r="V14" s="75"/>
      <c r="W14" s="75"/>
      <c r="X14" s="75"/>
      <c r="Y14" s="75"/>
      <c r="Z14" s="75"/>
      <c r="AA14" s="75"/>
      <c r="AB14" s="75"/>
      <c r="AC14" s="75"/>
      <c r="AD14" s="75"/>
      <c r="AE14" s="75"/>
      <c r="AF14" s="75"/>
      <c r="AG14" s="75"/>
      <c r="AH14" s="75"/>
    </row>
    <row r="15" spans="1:34" ht="25.8">
      <c r="A15" s="82" t="s">
        <v>885</v>
      </c>
      <c r="B15" s="75"/>
      <c r="C15" s="133" t="s">
        <v>884</v>
      </c>
      <c r="D15" s="75"/>
      <c r="E15" s="75"/>
      <c r="F15" s="75"/>
      <c r="G15" s="75"/>
      <c r="H15" s="75"/>
      <c r="I15" s="75"/>
      <c r="J15" s="75"/>
      <c r="K15" s="75"/>
      <c r="L15" s="75"/>
      <c r="M15" s="75"/>
      <c r="N15" s="75"/>
      <c r="O15" s="75"/>
      <c r="P15" s="75"/>
      <c r="Q15" s="75"/>
      <c r="R15" s="75"/>
      <c r="S15" s="75"/>
      <c r="T15" s="75"/>
      <c r="U15" s="75"/>
      <c r="V15" s="75"/>
      <c r="W15" s="75"/>
      <c r="X15" s="75"/>
      <c r="Y15" s="75"/>
      <c r="Z15" s="75"/>
      <c r="AA15" s="75"/>
      <c r="AB15" s="75"/>
      <c r="AC15" s="75"/>
      <c r="AD15" s="75"/>
      <c r="AE15" s="75"/>
      <c r="AF15" s="75"/>
      <c r="AG15" s="75"/>
      <c r="AH15" s="75"/>
    </row>
    <row r="16" spans="1:34" ht="18">
      <c r="A16" s="75"/>
      <c r="B16" s="144" t="s">
        <v>883</v>
      </c>
      <c r="C16" s="144" t="s">
        <v>881</v>
      </c>
      <c r="D16" s="144" t="s">
        <v>880</v>
      </c>
      <c r="E16" s="144" t="s">
        <v>879</v>
      </c>
      <c r="F16" s="135"/>
      <c r="G16" s="143"/>
      <c r="H16" s="134"/>
      <c r="I16" s="134"/>
      <c r="J16" s="134"/>
      <c r="K16" s="134"/>
      <c r="L16" s="75"/>
      <c r="M16" s="75"/>
      <c r="N16" s="75"/>
      <c r="O16" s="75"/>
      <c r="P16" s="75"/>
      <c r="Q16" s="75"/>
      <c r="R16" s="75"/>
      <c r="S16" s="75"/>
      <c r="T16" s="75"/>
      <c r="U16" s="75"/>
      <c r="V16" s="75"/>
      <c r="W16" s="75"/>
      <c r="X16" s="75"/>
      <c r="Y16" s="75"/>
      <c r="Z16" s="75"/>
      <c r="AA16" s="75"/>
      <c r="AB16" s="75"/>
      <c r="AC16" s="75"/>
      <c r="AD16" s="75"/>
      <c r="AE16" s="75"/>
      <c r="AF16" s="75"/>
      <c r="AG16" s="75"/>
      <c r="AH16" s="75"/>
    </row>
    <row r="17" spans="1:34" ht="18">
      <c r="A17" s="75"/>
      <c r="B17" s="137" t="s">
        <v>95</v>
      </c>
      <c r="C17" s="137" t="s">
        <v>882</v>
      </c>
      <c r="D17" s="136">
        <v>150</v>
      </c>
      <c r="E17" s="136">
        <v>85</v>
      </c>
      <c r="F17" s="135"/>
      <c r="G17" s="142" t="s">
        <v>660</v>
      </c>
      <c r="H17" s="141" t="s">
        <v>881</v>
      </c>
      <c r="I17" s="141" t="s">
        <v>880</v>
      </c>
      <c r="J17" s="141" t="s">
        <v>879</v>
      </c>
      <c r="K17" s="140"/>
      <c r="L17" s="75"/>
      <c r="M17" s="75"/>
      <c r="N17" s="75"/>
      <c r="O17" s="75"/>
      <c r="P17" s="75"/>
      <c r="Q17" s="75"/>
      <c r="R17" s="75"/>
      <c r="S17" s="75"/>
      <c r="T17" s="75"/>
      <c r="U17" s="75"/>
      <c r="V17" s="75"/>
      <c r="W17" s="75"/>
      <c r="X17" s="75"/>
      <c r="Y17" s="75"/>
      <c r="Z17" s="75"/>
      <c r="AA17" s="75"/>
      <c r="AB17" s="75"/>
      <c r="AC17" s="75"/>
      <c r="AD17" s="75"/>
      <c r="AE17" s="75"/>
      <c r="AF17" s="75"/>
      <c r="AG17" s="75"/>
      <c r="AH17" s="75"/>
    </row>
    <row r="18" spans="1:34" ht="18">
      <c r="A18" s="75"/>
      <c r="B18" s="137" t="s">
        <v>83</v>
      </c>
      <c r="C18" s="137" t="s">
        <v>878</v>
      </c>
      <c r="D18" s="139">
        <v>185</v>
      </c>
      <c r="E18" s="136">
        <v>95</v>
      </c>
      <c r="F18" s="135"/>
      <c r="G18" s="138" t="s">
        <v>83</v>
      </c>
      <c r="H18" s="209" t="str">
        <f>VLOOKUP(G18,$B$17:$E$20,2,0)</f>
        <v>LP1420</v>
      </c>
      <c r="I18" s="210">
        <f>VLOOKUP(G18,$B$17:$E$20,3,0)</f>
        <v>185</v>
      </c>
      <c r="J18" s="210">
        <f>VLOOKUP(G18,$B$17:$E$20,4,0)</f>
        <v>95</v>
      </c>
      <c r="K18" s="134"/>
      <c r="L18" s="75"/>
      <c r="M18" s="75"/>
      <c r="N18" s="75"/>
      <c r="O18" s="75"/>
      <c r="P18" s="75"/>
      <c r="Q18" s="75"/>
      <c r="R18" s="75"/>
      <c r="S18" s="75"/>
      <c r="T18" s="75"/>
      <c r="U18" s="75"/>
      <c r="V18" s="75"/>
      <c r="W18" s="75"/>
      <c r="X18" s="75"/>
      <c r="Y18" s="75"/>
      <c r="Z18" s="75"/>
      <c r="AA18" s="75"/>
      <c r="AB18" s="75"/>
      <c r="AC18" s="75"/>
      <c r="AD18" s="75"/>
      <c r="AE18" s="75"/>
      <c r="AF18" s="75"/>
      <c r="AG18" s="75"/>
      <c r="AH18" s="75"/>
    </row>
    <row r="19" spans="1:34" ht="18">
      <c r="A19" s="75"/>
      <c r="B19" s="137" t="s">
        <v>96</v>
      </c>
      <c r="C19" s="137" t="s">
        <v>877</v>
      </c>
      <c r="D19" s="136">
        <v>245</v>
      </c>
      <c r="E19" s="136">
        <v>90</v>
      </c>
      <c r="F19" s="135"/>
      <c r="G19" s="138" t="s">
        <v>96</v>
      </c>
      <c r="H19" s="209" t="str">
        <f>VLOOKUP(G19,$B$17:$E$20,2,0)</f>
        <v>TB2031</v>
      </c>
      <c r="I19" s="210">
        <f>VLOOKUP(G19,$B$17:$E$20,3,0)</f>
        <v>245</v>
      </c>
      <c r="J19" s="210">
        <f>VLOOKUP(G19,$B$17:$E$20,4,0)</f>
        <v>90</v>
      </c>
      <c r="K19" s="134"/>
      <c r="L19" s="75"/>
      <c r="M19" s="75"/>
      <c r="N19" s="75"/>
      <c r="O19" s="75"/>
      <c r="P19" s="75"/>
      <c r="Q19" s="75"/>
      <c r="R19" s="75"/>
      <c r="S19" s="75"/>
      <c r="T19" s="75"/>
      <c r="U19" s="75"/>
      <c r="V19" s="75"/>
      <c r="W19" s="75"/>
      <c r="X19" s="75"/>
      <c r="Y19" s="75"/>
      <c r="Z19" s="75"/>
      <c r="AA19" s="75"/>
      <c r="AB19" s="75"/>
      <c r="AC19" s="75"/>
      <c r="AD19" s="75"/>
      <c r="AE19" s="75"/>
      <c r="AF19" s="75"/>
      <c r="AG19" s="75"/>
      <c r="AH19" s="75"/>
    </row>
    <row r="20" spans="1:34" ht="18">
      <c r="A20" s="75"/>
      <c r="B20" s="137" t="s">
        <v>876</v>
      </c>
      <c r="C20" s="137" t="s">
        <v>875</v>
      </c>
      <c r="D20" s="136">
        <v>55</v>
      </c>
      <c r="E20" s="136">
        <v>5</v>
      </c>
      <c r="F20" s="135"/>
      <c r="G20" s="135"/>
      <c r="H20" s="134"/>
      <c r="I20" s="134"/>
      <c r="J20" s="134"/>
      <c r="K20" s="134"/>
      <c r="L20" s="75"/>
      <c r="M20" s="75"/>
      <c r="N20" s="75"/>
      <c r="O20" s="75"/>
      <c r="P20" s="75"/>
      <c r="Q20" s="75"/>
      <c r="R20" s="75"/>
      <c r="S20" s="75"/>
      <c r="T20" s="75"/>
      <c r="U20" s="75"/>
      <c r="V20" s="75"/>
      <c r="W20" s="75"/>
      <c r="X20" s="75"/>
      <c r="Y20" s="75"/>
      <c r="Z20" s="75"/>
      <c r="AA20" s="75"/>
      <c r="AB20" s="75"/>
      <c r="AC20" s="75"/>
      <c r="AD20" s="75"/>
      <c r="AE20" s="75"/>
      <c r="AF20" s="75"/>
      <c r="AG20" s="75"/>
      <c r="AH20" s="75"/>
    </row>
    <row r="21" spans="1:34" ht="18">
      <c r="A21" s="75"/>
      <c r="B21" s="134"/>
      <c r="C21" s="134"/>
      <c r="D21" s="134"/>
      <c r="E21" s="134"/>
      <c r="F21" s="134"/>
      <c r="G21" s="134"/>
      <c r="H21" s="134"/>
      <c r="I21" s="134"/>
      <c r="J21" s="134"/>
      <c r="K21" s="134"/>
      <c r="L21" s="75"/>
      <c r="M21" s="75"/>
      <c r="N21" s="75"/>
      <c r="O21" s="75"/>
      <c r="P21" s="75"/>
      <c r="Q21" s="75"/>
      <c r="R21" s="75"/>
      <c r="S21" s="75"/>
      <c r="T21" s="75"/>
      <c r="U21" s="75"/>
      <c r="V21" s="75"/>
      <c r="W21" s="75"/>
      <c r="X21" s="75"/>
      <c r="Y21" s="75"/>
      <c r="Z21" s="75"/>
      <c r="AA21" s="75"/>
      <c r="AB21" s="75"/>
      <c r="AC21" s="75"/>
      <c r="AD21" s="75"/>
      <c r="AE21" s="75"/>
      <c r="AF21" s="75"/>
      <c r="AG21" s="75"/>
      <c r="AH21" s="75"/>
    </row>
    <row r="22" spans="1:34">
      <c r="A22" s="75"/>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5"/>
      <c r="AD22" s="75"/>
      <c r="AE22" s="75"/>
      <c r="AF22" s="75"/>
      <c r="AG22" s="75"/>
      <c r="AH22" s="75"/>
    </row>
    <row r="23" spans="1:34">
      <c r="A23" s="75"/>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5"/>
      <c r="AD23" s="75"/>
      <c r="AE23" s="75"/>
      <c r="AF23" s="75"/>
      <c r="AG23" s="75"/>
      <c r="AH23" s="75"/>
    </row>
    <row r="24" spans="1:34">
      <c r="A24" s="75"/>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5"/>
      <c r="AC24" s="75"/>
      <c r="AD24" s="75"/>
      <c r="AE24" s="75"/>
      <c r="AF24" s="75"/>
      <c r="AG24" s="75"/>
      <c r="AH24" s="75"/>
    </row>
    <row r="25" spans="1:34" ht="28.8">
      <c r="A25" s="110" t="s">
        <v>874</v>
      </c>
      <c r="B25" s="75"/>
      <c r="C25" s="75"/>
      <c r="D25" s="133" t="s">
        <v>873</v>
      </c>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row>
    <row r="26" spans="1:34" ht="21.6" thickBot="1">
      <c r="A26" s="75"/>
      <c r="B26" s="132" t="s">
        <v>872</v>
      </c>
      <c r="C26" s="131"/>
      <c r="D26" s="131"/>
      <c r="E26" s="75"/>
      <c r="F26" s="75"/>
      <c r="G26" s="130" t="s">
        <v>871</v>
      </c>
      <c r="H26" s="129"/>
      <c r="I26" s="129"/>
      <c r="J26" s="129"/>
      <c r="K26" s="75"/>
      <c r="L26" s="75"/>
      <c r="M26" s="75"/>
      <c r="N26" s="75"/>
      <c r="O26" s="75"/>
      <c r="P26" s="75"/>
      <c r="Q26" s="75"/>
      <c r="R26" s="75"/>
      <c r="S26" s="75"/>
      <c r="T26" s="75"/>
      <c r="U26" s="75"/>
      <c r="V26" s="75"/>
      <c r="W26" s="75"/>
      <c r="X26" s="75"/>
      <c r="Y26" s="75"/>
      <c r="Z26" s="75"/>
      <c r="AA26" s="75"/>
      <c r="AB26" s="75"/>
      <c r="AC26" s="75"/>
      <c r="AD26" s="75"/>
      <c r="AE26" s="75"/>
      <c r="AF26" s="75"/>
      <c r="AG26" s="75"/>
      <c r="AH26" s="75"/>
    </row>
    <row r="27" spans="1:34">
      <c r="A27" s="75"/>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5"/>
      <c r="AD27" s="75"/>
      <c r="AE27" s="75"/>
      <c r="AF27" s="75"/>
      <c r="AG27" s="75"/>
      <c r="AH27" s="75"/>
    </row>
    <row r="28" spans="1:34">
      <c r="A28" s="75"/>
      <c r="B28" s="128" t="s">
        <v>405</v>
      </c>
      <c r="C28" s="127" t="s">
        <v>868</v>
      </c>
      <c r="D28" s="126" t="s">
        <v>869</v>
      </c>
      <c r="E28" s="75"/>
      <c r="F28" s="75"/>
      <c r="G28" s="125" t="s">
        <v>405</v>
      </c>
      <c r="H28" s="124" t="s">
        <v>870</v>
      </c>
      <c r="I28" s="124" t="s">
        <v>869</v>
      </c>
      <c r="J28" s="123" t="s">
        <v>868</v>
      </c>
      <c r="K28" s="75"/>
      <c r="L28" s="75"/>
      <c r="M28" s="75"/>
      <c r="N28" s="75"/>
      <c r="O28" s="75"/>
      <c r="P28" s="75"/>
      <c r="Q28" s="75"/>
      <c r="R28" s="75"/>
      <c r="S28" s="75"/>
      <c r="T28" s="75"/>
      <c r="U28" s="75"/>
      <c r="V28" s="75"/>
      <c r="W28" s="75"/>
      <c r="X28" s="75"/>
      <c r="Y28" s="75"/>
      <c r="Z28" s="75"/>
      <c r="AA28" s="75"/>
      <c r="AB28" s="75"/>
      <c r="AC28" s="75"/>
      <c r="AD28" s="75"/>
      <c r="AE28" s="75"/>
      <c r="AF28" s="75"/>
      <c r="AG28" s="75"/>
      <c r="AH28" s="75"/>
    </row>
    <row r="29" spans="1:34">
      <c r="A29" s="75"/>
      <c r="B29" s="75">
        <v>110608</v>
      </c>
      <c r="C29" s="75" t="s">
        <v>867</v>
      </c>
      <c r="D29" s="75" t="s">
        <v>859</v>
      </c>
      <c r="E29" s="75"/>
      <c r="F29" s="75"/>
      <c r="G29" s="75">
        <v>990678</v>
      </c>
      <c r="H29" s="122">
        <v>84289</v>
      </c>
      <c r="I29" s="211" t="str">
        <f>VLOOKUP(G29,$B$29:$D$41,3,0)</f>
        <v>Brad</v>
      </c>
      <c r="J29" s="211" t="str">
        <f>VLOOKUP(G29,$B$29:$D$41,2,0)</f>
        <v>Pitt</v>
      </c>
      <c r="K29" s="75"/>
      <c r="L29" s="75"/>
      <c r="M29" s="75"/>
      <c r="N29" s="75"/>
      <c r="O29" s="75"/>
      <c r="P29" s="75"/>
      <c r="Q29" s="75"/>
      <c r="R29" s="75"/>
      <c r="S29" s="75"/>
      <c r="T29" s="75"/>
      <c r="U29" s="75"/>
      <c r="V29" s="75"/>
      <c r="W29" s="75"/>
      <c r="X29" s="75"/>
      <c r="Y29" s="75"/>
      <c r="Z29" s="75"/>
      <c r="AA29" s="75"/>
      <c r="AB29" s="75"/>
      <c r="AC29" s="75"/>
      <c r="AD29" s="75"/>
      <c r="AE29" s="75"/>
      <c r="AF29" s="75"/>
      <c r="AG29" s="75"/>
      <c r="AH29" s="75"/>
    </row>
    <row r="30" spans="1:34">
      <c r="A30" s="75"/>
      <c r="B30" s="75">
        <v>253072</v>
      </c>
      <c r="C30" s="75" t="s">
        <v>866</v>
      </c>
      <c r="D30" s="75" t="s">
        <v>865</v>
      </c>
      <c r="E30" s="75"/>
      <c r="F30" s="75"/>
      <c r="G30" s="75">
        <v>830385</v>
      </c>
      <c r="H30" s="122">
        <v>137670</v>
      </c>
      <c r="I30" s="211" t="str">
        <f t="shared" ref="I30:I41" si="2">VLOOKUP(G30,$B$29:$D$41,3,0)</f>
        <v>Prince</v>
      </c>
      <c r="J30" s="211" t="str">
        <f t="shared" ref="J30:J41" si="3">VLOOKUP(G30,$B$29:$D$41,2,0)</f>
        <v>Williams</v>
      </c>
      <c r="K30" s="75"/>
      <c r="L30" s="75"/>
      <c r="M30" s="75"/>
      <c r="N30" s="75"/>
      <c r="O30" s="75"/>
      <c r="P30" s="75"/>
      <c r="Q30" s="75"/>
      <c r="R30" s="75"/>
      <c r="S30" s="75"/>
      <c r="T30" s="75"/>
      <c r="U30" s="75"/>
      <c r="V30" s="75"/>
      <c r="W30" s="75"/>
      <c r="X30" s="75"/>
      <c r="Y30" s="75"/>
      <c r="Z30" s="75"/>
      <c r="AA30" s="75"/>
      <c r="AB30" s="75"/>
      <c r="AC30" s="75"/>
      <c r="AD30" s="75"/>
      <c r="AE30" s="75"/>
      <c r="AF30" s="75"/>
      <c r="AG30" s="75"/>
      <c r="AH30" s="75"/>
    </row>
    <row r="31" spans="1:34">
      <c r="A31" s="75"/>
      <c r="B31" s="75">
        <v>352711</v>
      </c>
      <c r="C31" s="75" t="s">
        <v>649</v>
      </c>
      <c r="D31" s="75" t="s">
        <v>859</v>
      </c>
      <c r="E31" s="75"/>
      <c r="F31" s="75"/>
      <c r="G31" s="75">
        <v>795574</v>
      </c>
      <c r="H31" s="122">
        <v>190024</v>
      </c>
      <c r="I31" s="211" t="str">
        <f t="shared" si="2"/>
        <v>Tony</v>
      </c>
      <c r="J31" s="211" t="str">
        <f t="shared" si="3"/>
        <v>Stark</v>
      </c>
      <c r="K31" s="75"/>
      <c r="L31" s="75"/>
      <c r="M31" s="75"/>
      <c r="N31" s="75"/>
      <c r="O31" s="75"/>
      <c r="P31" s="75"/>
      <c r="Q31" s="75"/>
      <c r="R31" s="75"/>
      <c r="S31" s="75"/>
      <c r="T31" s="75"/>
      <c r="U31" s="75"/>
      <c r="V31" s="75"/>
      <c r="W31" s="75"/>
      <c r="X31" s="75"/>
      <c r="Y31" s="75"/>
      <c r="Z31" s="75"/>
      <c r="AA31" s="75"/>
      <c r="AB31" s="75"/>
      <c r="AC31" s="75"/>
      <c r="AD31" s="75"/>
      <c r="AE31" s="75"/>
      <c r="AF31" s="75"/>
      <c r="AG31" s="75"/>
      <c r="AH31" s="75"/>
    </row>
    <row r="32" spans="1:34">
      <c r="A32" s="75"/>
      <c r="B32" s="75">
        <v>391006</v>
      </c>
      <c r="C32" s="75" t="s">
        <v>864</v>
      </c>
      <c r="D32" s="75" t="s">
        <v>863</v>
      </c>
      <c r="E32" s="75"/>
      <c r="F32" s="75"/>
      <c r="G32" s="75">
        <v>580622</v>
      </c>
      <c r="H32" s="122">
        <v>122604</v>
      </c>
      <c r="I32" s="211" t="str">
        <f t="shared" si="2"/>
        <v>Eli</v>
      </c>
      <c r="J32" s="211" t="str">
        <f t="shared" si="3"/>
        <v>Manning</v>
      </c>
      <c r="K32" s="75"/>
      <c r="L32" s="75"/>
      <c r="M32" s="75"/>
      <c r="N32" s="75"/>
      <c r="O32" s="75"/>
      <c r="P32" s="75"/>
      <c r="Q32" s="75"/>
      <c r="R32" s="75"/>
      <c r="S32" s="75"/>
      <c r="T32" s="75"/>
      <c r="U32" s="75"/>
      <c r="V32" s="75"/>
      <c r="W32" s="75"/>
      <c r="X32" s="75"/>
      <c r="Y32" s="75"/>
      <c r="Z32" s="75"/>
      <c r="AA32" s="75"/>
      <c r="AB32" s="75"/>
      <c r="AC32" s="75"/>
      <c r="AD32" s="75"/>
      <c r="AE32" s="75"/>
      <c r="AF32" s="75"/>
      <c r="AG32" s="75"/>
      <c r="AH32" s="75"/>
    </row>
    <row r="33" spans="1:34">
      <c r="A33" s="75"/>
      <c r="B33" s="75">
        <v>392128</v>
      </c>
      <c r="C33" s="75" t="s">
        <v>862</v>
      </c>
      <c r="D33" s="75" t="s">
        <v>861</v>
      </c>
      <c r="E33" s="75"/>
      <c r="F33" s="75"/>
      <c r="G33" s="75">
        <v>549457</v>
      </c>
      <c r="H33" s="122">
        <v>111709</v>
      </c>
      <c r="I33" s="211" t="str">
        <f t="shared" si="2"/>
        <v>John</v>
      </c>
      <c r="J33" s="211" t="str">
        <f t="shared" si="3"/>
        <v>Elway</v>
      </c>
      <c r="K33" s="75"/>
      <c r="L33" s="75"/>
      <c r="M33" s="75"/>
      <c r="N33" s="75"/>
      <c r="O33" s="75"/>
      <c r="P33" s="75"/>
      <c r="Q33" s="75"/>
      <c r="R33" s="75"/>
      <c r="S33" s="75"/>
      <c r="T33" s="75"/>
      <c r="U33" s="75"/>
      <c r="V33" s="75"/>
      <c r="W33" s="75"/>
      <c r="X33" s="75"/>
      <c r="Y33" s="75"/>
      <c r="Z33" s="75"/>
      <c r="AA33" s="75"/>
      <c r="AB33" s="75"/>
      <c r="AC33" s="75"/>
      <c r="AD33" s="75"/>
      <c r="AE33" s="75"/>
      <c r="AF33" s="75"/>
      <c r="AG33" s="75"/>
      <c r="AH33" s="75"/>
    </row>
    <row r="34" spans="1:34">
      <c r="A34" s="75"/>
      <c r="B34" s="75">
        <v>549457</v>
      </c>
      <c r="C34" s="75" t="s">
        <v>860</v>
      </c>
      <c r="D34" s="75" t="s">
        <v>859</v>
      </c>
      <c r="E34" s="75"/>
      <c r="F34" s="75"/>
      <c r="G34" s="75">
        <v>392128</v>
      </c>
      <c r="H34" s="122">
        <v>85931</v>
      </c>
      <c r="I34" s="211" t="str">
        <f t="shared" si="2"/>
        <v>Bret</v>
      </c>
      <c r="J34" s="211" t="str">
        <f t="shared" si="3"/>
        <v>Favre</v>
      </c>
      <c r="K34" s="75"/>
      <c r="L34" s="75"/>
      <c r="M34" s="75"/>
      <c r="N34" s="75"/>
      <c r="O34" s="75"/>
      <c r="P34" s="75"/>
      <c r="Q34" s="75"/>
      <c r="R34" s="75"/>
      <c r="S34" s="75"/>
      <c r="T34" s="75"/>
      <c r="U34" s="75"/>
      <c r="V34" s="75"/>
      <c r="W34" s="75"/>
      <c r="X34" s="75"/>
      <c r="Y34" s="75"/>
      <c r="Z34" s="75"/>
      <c r="AA34" s="75"/>
      <c r="AB34" s="75"/>
      <c r="AC34" s="75"/>
      <c r="AD34" s="75"/>
      <c r="AE34" s="75"/>
      <c r="AF34" s="75"/>
      <c r="AG34" s="75"/>
      <c r="AH34" s="75"/>
    </row>
    <row r="35" spans="1:34">
      <c r="A35" s="75"/>
      <c r="B35" s="75">
        <v>580622</v>
      </c>
      <c r="C35" s="75" t="s">
        <v>858</v>
      </c>
      <c r="D35" s="75" t="s">
        <v>857</v>
      </c>
      <c r="E35" s="75"/>
      <c r="F35" s="75"/>
      <c r="G35" s="75">
        <v>391006</v>
      </c>
      <c r="H35" s="122">
        <v>168114</v>
      </c>
      <c r="I35" s="211" t="str">
        <f t="shared" si="2"/>
        <v>Peter</v>
      </c>
      <c r="J35" s="211" t="str">
        <f t="shared" si="3"/>
        <v>Pan</v>
      </c>
      <c r="K35" s="75"/>
      <c r="L35" s="75"/>
      <c r="M35" s="75"/>
      <c r="N35" s="75"/>
      <c r="O35" s="75"/>
      <c r="P35" s="75"/>
      <c r="Q35" s="75"/>
      <c r="R35" s="75"/>
      <c r="S35" s="75"/>
      <c r="T35" s="75"/>
      <c r="U35" s="75"/>
      <c r="V35" s="75"/>
      <c r="W35" s="75"/>
      <c r="X35" s="75"/>
      <c r="Y35" s="75"/>
      <c r="Z35" s="75"/>
      <c r="AA35" s="75"/>
      <c r="AB35" s="75"/>
      <c r="AC35" s="75"/>
      <c r="AD35" s="75"/>
      <c r="AE35" s="75"/>
      <c r="AF35" s="75"/>
      <c r="AG35" s="75"/>
      <c r="AH35" s="75"/>
    </row>
    <row r="36" spans="1:34">
      <c r="A36" s="75"/>
      <c r="B36" s="75">
        <v>602693</v>
      </c>
      <c r="C36" s="75" t="s">
        <v>856</v>
      </c>
      <c r="D36" s="75" t="s">
        <v>852</v>
      </c>
      <c r="E36" s="75"/>
      <c r="F36" s="75"/>
      <c r="G36" s="75">
        <v>352711</v>
      </c>
      <c r="H36" s="122">
        <v>89627</v>
      </c>
      <c r="I36" s="211" t="str">
        <f t="shared" si="2"/>
        <v>John</v>
      </c>
      <c r="J36" s="211" t="str">
        <f t="shared" si="3"/>
        <v>Smith</v>
      </c>
      <c r="K36" s="75"/>
      <c r="L36" s="75"/>
      <c r="M36" s="75"/>
      <c r="N36" s="75"/>
      <c r="O36" s="75"/>
      <c r="P36" s="75"/>
      <c r="Q36" s="75"/>
      <c r="R36" s="75"/>
      <c r="S36" s="75"/>
      <c r="T36" s="75"/>
      <c r="U36" s="75"/>
      <c r="V36" s="75"/>
      <c r="W36" s="75"/>
      <c r="X36" s="75"/>
      <c r="Y36" s="75"/>
      <c r="Z36" s="75"/>
      <c r="AA36" s="75"/>
      <c r="AB36" s="75"/>
      <c r="AC36" s="75"/>
      <c r="AD36" s="75"/>
      <c r="AE36" s="75"/>
      <c r="AF36" s="75"/>
      <c r="AG36" s="75"/>
      <c r="AH36" s="75"/>
    </row>
    <row r="37" spans="1:34">
      <c r="A37" s="75"/>
      <c r="B37" s="75">
        <v>611810</v>
      </c>
      <c r="C37" s="75" t="s">
        <v>855</v>
      </c>
      <c r="D37" s="75" t="s">
        <v>854</v>
      </c>
      <c r="E37" s="75"/>
      <c r="F37" s="75"/>
      <c r="G37" s="75">
        <v>253072</v>
      </c>
      <c r="H37" s="122">
        <v>149946</v>
      </c>
      <c r="I37" s="211" t="str">
        <f t="shared" si="2"/>
        <v>Andy</v>
      </c>
      <c r="J37" s="211" t="str">
        <f t="shared" si="3"/>
        <v>Cline</v>
      </c>
      <c r="K37" s="75"/>
      <c r="L37" s="75"/>
      <c r="M37" s="75"/>
      <c r="N37" s="75"/>
      <c r="O37" s="75"/>
      <c r="P37" s="75"/>
      <c r="Q37" s="75"/>
      <c r="R37" s="75"/>
      <c r="S37" s="75"/>
      <c r="T37" s="75"/>
      <c r="U37" s="75"/>
      <c r="V37" s="75"/>
      <c r="W37" s="75"/>
      <c r="X37" s="75"/>
      <c r="Y37" s="75"/>
      <c r="Z37" s="75"/>
      <c r="AA37" s="75"/>
      <c r="AB37" s="75"/>
      <c r="AC37" s="75"/>
      <c r="AD37" s="75"/>
      <c r="AE37" s="75"/>
      <c r="AF37" s="75"/>
      <c r="AG37" s="75"/>
      <c r="AH37" s="75"/>
    </row>
    <row r="38" spans="1:34">
      <c r="A38" s="75"/>
      <c r="B38" s="75">
        <v>612235</v>
      </c>
      <c r="C38" s="75" t="s">
        <v>853</v>
      </c>
      <c r="D38" s="75" t="s">
        <v>852</v>
      </c>
      <c r="E38" s="75"/>
      <c r="F38" s="75"/>
      <c r="G38" s="75">
        <v>612235</v>
      </c>
      <c r="H38" s="122">
        <v>145893</v>
      </c>
      <c r="I38" s="211" t="str">
        <f t="shared" si="2"/>
        <v>Micheal</v>
      </c>
      <c r="J38" s="211" t="str">
        <f t="shared" si="3"/>
        <v>Jordan</v>
      </c>
      <c r="K38" s="75"/>
      <c r="L38" s="75"/>
      <c r="M38" s="75"/>
      <c r="N38" s="75"/>
      <c r="O38" s="75"/>
      <c r="P38" s="75"/>
      <c r="Q38" s="75"/>
      <c r="R38" s="75"/>
      <c r="S38" s="75"/>
      <c r="T38" s="75"/>
      <c r="U38" s="75"/>
      <c r="V38" s="75"/>
      <c r="W38" s="75"/>
      <c r="X38" s="75"/>
      <c r="Y38" s="75"/>
      <c r="Z38" s="75"/>
      <c r="AA38" s="75"/>
      <c r="AB38" s="75"/>
      <c r="AC38" s="75"/>
      <c r="AD38" s="75"/>
      <c r="AE38" s="75"/>
      <c r="AF38" s="75"/>
      <c r="AG38" s="75"/>
      <c r="AH38" s="75"/>
    </row>
    <row r="39" spans="1:34">
      <c r="A39" s="75"/>
      <c r="B39" s="75">
        <v>795574</v>
      </c>
      <c r="C39" s="75" t="s">
        <v>851</v>
      </c>
      <c r="D39" s="75" t="s">
        <v>850</v>
      </c>
      <c r="E39" s="75"/>
      <c r="F39" s="75"/>
      <c r="G39" s="75">
        <v>611810</v>
      </c>
      <c r="H39" s="122">
        <v>64757</v>
      </c>
      <c r="I39" s="211" t="str">
        <f t="shared" si="2"/>
        <v>Tiger</v>
      </c>
      <c r="J39" s="211" t="str">
        <f t="shared" si="3"/>
        <v>Woods</v>
      </c>
      <c r="K39" s="75"/>
      <c r="L39" s="75"/>
      <c r="M39" s="75"/>
      <c r="N39" s="75"/>
      <c r="O39" s="75"/>
      <c r="P39" s="75"/>
      <c r="Q39" s="75"/>
      <c r="R39" s="75"/>
      <c r="S39" s="75"/>
      <c r="T39" s="75"/>
      <c r="U39" s="75"/>
      <c r="V39" s="75"/>
      <c r="W39" s="75"/>
      <c r="X39" s="75"/>
      <c r="Y39" s="75"/>
      <c r="Z39" s="75"/>
      <c r="AA39" s="75"/>
      <c r="AB39" s="75"/>
      <c r="AC39" s="75"/>
      <c r="AD39" s="75"/>
      <c r="AE39" s="75"/>
      <c r="AF39" s="75"/>
      <c r="AG39" s="75"/>
      <c r="AH39" s="75"/>
    </row>
    <row r="40" spans="1:34">
      <c r="A40" s="75"/>
      <c r="B40" s="75">
        <v>830385</v>
      </c>
      <c r="C40" s="75" t="s">
        <v>849</v>
      </c>
      <c r="D40" s="75" t="s">
        <v>848</v>
      </c>
      <c r="E40" s="75"/>
      <c r="F40" s="75"/>
      <c r="G40" s="75">
        <v>602693</v>
      </c>
      <c r="H40" s="122">
        <v>71478</v>
      </c>
      <c r="I40" s="211" t="str">
        <f t="shared" si="2"/>
        <v>Micheal</v>
      </c>
      <c r="J40" s="211" t="str">
        <f t="shared" si="3"/>
        <v>Vick</v>
      </c>
      <c r="K40" s="75"/>
      <c r="L40" s="75"/>
      <c r="M40" s="75"/>
      <c r="N40" s="75"/>
      <c r="O40" s="75"/>
      <c r="P40" s="75"/>
      <c r="Q40" s="75"/>
      <c r="R40" s="75"/>
      <c r="S40" s="75"/>
      <c r="T40" s="75"/>
      <c r="U40" s="75"/>
      <c r="V40" s="75"/>
      <c r="W40" s="75"/>
      <c r="X40" s="75"/>
      <c r="Y40" s="75"/>
      <c r="Z40" s="75"/>
      <c r="AA40" s="75"/>
      <c r="AB40" s="75"/>
      <c r="AC40" s="75"/>
      <c r="AD40" s="75"/>
      <c r="AE40" s="75"/>
      <c r="AF40" s="75"/>
      <c r="AG40" s="75"/>
      <c r="AH40" s="75"/>
    </row>
    <row r="41" spans="1:34">
      <c r="A41" s="75"/>
      <c r="B41" s="75">
        <v>990678</v>
      </c>
      <c r="C41" s="75" t="s">
        <v>847</v>
      </c>
      <c r="D41" s="75" t="s">
        <v>846</v>
      </c>
      <c r="E41" s="75"/>
      <c r="F41" s="75"/>
      <c r="G41" s="75">
        <v>110608</v>
      </c>
      <c r="H41" s="122">
        <v>131505</v>
      </c>
      <c r="I41" s="211" t="str">
        <f t="shared" si="2"/>
        <v>John</v>
      </c>
      <c r="J41" s="211" t="str">
        <f t="shared" si="3"/>
        <v>Doe</v>
      </c>
      <c r="K41" s="75"/>
      <c r="L41" s="75"/>
      <c r="M41" s="75"/>
      <c r="N41" s="75"/>
      <c r="O41" s="75"/>
      <c r="P41" s="75"/>
      <c r="Q41" s="75"/>
      <c r="R41" s="75"/>
      <c r="S41" s="75"/>
      <c r="T41" s="75"/>
      <c r="U41" s="75"/>
      <c r="V41" s="75"/>
      <c r="W41" s="75"/>
      <c r="X41" s="75"/>
      <c r="Y41" s="75"/>
      <c r="Z41" s="75"/>
      <c r="AA41" s="75"/>
      <c r="AB41" s="75"/>
      <c r="AC41" s="75"/>
      <c r="AD41" s="75"/>
      <c r="AE41" s="75"/>
      <c r="AF41" s="75"/>
      <c r="AG41" s="75"/>
      <c r="AH41" s="75"/>
    </row>
    <row r="42" spans="1:34">
      <c r="A42" s="75"/>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5"/>
      <c r="AD42" s="75"/>
      <c r="AE42" s="75"/>
      <c r="AF42" s="75"/>
      <c r="AG42" s="75"/>
      <c r="AH42" s="75"/>
    </row>
    <row r="43" spans="1:34">
      <c r="A43" s="75"/>
      <c r="B43" s="75"/>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5"/>
      <c r="AF43" s="75"/>
      <c r="AG43" s="75"/>
      <c r="AH43" s="75"/>
    </row>
    <row r="44" spans="1:34">
      <c r="A44" s="75"/>
      <c r="B44" s="75"/>
      <c r="C44" s="75"/>
      <c r="D44" s="75"/>
      <c r="E44" s="75"/>
      <c r="F44" s="75"/>
      <c r="G44" s="75"/>
      <c r="H44" s="75"/>
      <c r="I44" s="75"/>
      <c r="J44" s="75"/>
      <c r="K44" s="75"/>
      <c r="L44" s="75"/>
      <c r="M44" s="75"/>
      <c r="N44" s="75"/>
      <c r="O44" s="75"/>
      <c r="P44" s="75"/>
      <c r="Q44" s="75"/>
      <c r="R44" s="75"/>
      <c r="S44" s="75"/>
      <c r="T44" s="75"/>
      <c r="U44" s="75"/>
      <c r="V44" s="75"/>
      <c r="W44" s="75"/>
      <c r="X44" s="75"/>
      <c r="Y44" s="75"/>
      <c r="Z44" s="75"/>
      <c r="AA44" s="75"/>
      <c r="AB44" s="75"/>
      <c r="AC44" s="75"/>
      <c r="AD44" s="75"/>
      <c r="AE44" s="75"/>
      <c r="AF44" s="75"/>
      <c r="AG44" s="75"/>
      <c r="AH44" s="75"/>
    </row>
    <row r="45" spans="1:34">
      <c r="A45" s="75"/>
      <c r="B45" s="75"/>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5"/>
      <c r="AF45" s="75"/>
      <c r="AG45" s="75"/>
      <c r="AH45" s="75"/>
    </row>
    <row r="46" spans="1:34">
      <c r="A46" s="75"/>
      <c r="B46" s="75"/>
      <c r="C46" s="75"/>
      <c r="D46" s="75"/>
      <c r="E46" s="75"/>
      <c r="F46" s="75"/>
      <c r="G46" s="75"/>
      <c r="H46" s="75"/>
      <c r="I46" s="75"/>
      <c r="J46" s="75"/>
      <c r="K46" s="75"/>
      <c r="L46" s="75"/>
      <c r="M46" s="75"/>
      <c r="N46" s="75"/>
      <c r="O46" s="75"/>
      <c r="P46" s="75"/>
      <c r="Q46" s="75"/>
      <c r="R46" s="75"/>
      <c r="S46" s="75"/>
      <c r="T46" s="75"/>
      <c r="U46" s="75"/>
      <c r="V46" s="75"/>
      <c r="W46" s="75"/>
      <c r="X46" s="75"/>
      <c r="Y46" s="75"/>
      <c r="Z46" s="75"/>
      <c r="AA46" s="75"/>
      <c r="AB46" s="75"/>
      <c r="AC46" s="75"/>
      <c r="AD46" s="75"/>
      <c r="AE46" s="75"/>
      <c r="AF46" s="75"/>
      <c r="AG46" s="75"/>
      <c r="AH46" s="75"/>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E91E5-EEE0-4FA2-B47B-6D1ADBA196AF}">
  <sheetPr>
    <tabColor theme="3" tint="0.749992370372631"/>
  </sheetPr>
  <dimension ref="A1:N15"/>
  <sheetViews>
    <sheetView workbookViewId="0">
      <selection activeCell="E4" sqref="E4:E6"/>
    </sheetView>
  </sheetViews>
  <sheetFormatPr defaultRowHeight="14.4"/>
  <sheetData>
    <row r="1" spans="1:14" ht="25.8">
      <c r="A1" s="152" t="s">
        <v>908</v>
      </c>
      <c r="B1" s="145"/>
      <c r="C1" s="145"/>
      <c r="D1" s="145"/>
      <c r="E1" s="145"/>
      <c r="F1" s="145"/>
      <c r="G1" s="145"/>
    </row>
    <row r="2" spans="1:14" ht="25.8">
      <c r="A2" s="152"/>
      <c r="B2" s="145"/>
      <c r="C2" s="145" t="s">
        <v>907</v>
      </c>
      <c r="D2" s="145"/>
      <c r="E2" s="145"/>
      <c r="F2" s="145"/>
      <c r="G2" s="145"/>
    </row>
    <row r="3" spans="1:14" ht="15">
      <c r="A3" s="151" t="s">
        <v>906</v>
      </c>
      <c r="B3" s="151" t="s">
        <v>880</v>
      </c>
      <c r="C3" s="145"/>
      <c r="D3" s="150" t="s">
        <v>120</v>
      </c>
      <c r="E3" s="149" t="s">
        <v>880</v>
      </c>
      <c r="F3" s="145"/>
      <c r="G3" s="145"/>
    </row>
    <row r="4" spans="1:14" ht="15">
      <c r="A4" s="145" t="s">
        <v>905</v>
      </c>
      <c r="B4" s="146">
        <v>3.3</v>
      </c>
      <c r="C4" s="145"/>
      <c r="D4" s="148" t="s">
        <v>904</v>
      </c>
      <c r="E4" s="258">
        <f>SUMIF($A$4:$A$14, LEFT(D4, LEN(D4)) &amp; "*", $B$4:$B$14)</f>
        <v>5</v>
      </c>
      <c r="F4" s="145"/>
      <c r="G4" s="145"/>
    </row>
    <row r="5" spans="1:14" ht="15">
      <c r="A5" s="145" t="s">
        <v>903</v>
      </c>
      <c r="B5" s="146">
        <v>4.5</v>
      </c>
      <c r="C5" s="145"/>
      <c r="D5" s="148" t="s">
        <v>902</v>
      </c>
      <c r="E5" s="258">
        <f>SUMIF($A$4:$A$14, LEFT(D5, LEN(D5)) &amp; "*", $B$4:$B$14)</f>
        <v>4</v>
      </c>
      <c r="F5" s="145"/>
      <c r="G5" s="145"/>
    </row>
    <row r="6" spans="1:14" ht="15">
      <c r="A6" s="145" t="s">
        <v>901</v>
      </c>
      <c r="B6" s="146">
        <v>7</v>
      </c>
      <c r="C6" s="145"/>
      <c r="D6" s="147" t="s">
        <v>900</v>
      </c>
      <c r="E6" s="259">
        <f>SUMIF($A$4:$A$14,"BBC*",$B$4:$B$14)</f>
        <v>5.9</v>
      </c>
      <c r="F6" s="145"/>
      <c r="G6" s="145"/>
    </row>
    <row r="7" spans="1:14" ht="15">
      <c r="A7" s="145" t="s">
        <v>899</v>
      </c>
      <c r="B7" s="146">
        <v>5</v>
      </c>
      <c r="C7" s="145"/>
      <c r="D7" s="145"/>
      <c r="E7" s="145"/>
      <c r="F7" s="145"/>
      <c r="G7" s="145"/>
    </row>
    <row r="8" spans="1:14" ht="15">
      <c r="A8" s="145" t="s">
        <v>898</v>
      </c>
      <c r="B8" s="146">
        <v>3.49</v>
      </c>
      <c r="C8" s="145"/>
      <c r="D8" s="145"/>
      <c r="E8" s="251" t="s">
        <v>990</v>
      </c>
      <c r="F8" s="252"/>
      <c r="G8" s="252"/>
      <c r="H8" s="252"/>
      <c r="I8" s="252"/>
      <c r="J8" s="252"/>
      <c r="K8" s="253"/>
      <c r="L8" s="253"/>
      <c r="M8" s="253"/>
      <c r="N8" s="253"/>
    </row>
    <row r="9" spans="1:14" ht="15">
      <c r="A9" s="145" t="s">
        <v>897</v>
      </c>
      <c r="B9" s="146">
        <v>9</v>
      </c>
      <c r="C9" s="145"/>
      <c r="D9" s="145"/>
      <c r="E9" s="250"/>
      <c r="F9" s="250"/>
      <c r="G9" s="250"/>
      <c r="H9" s="250"/>
      <c r="I9" s="250"/>
      <c r="J9" s="250"/>
    </row>
    <row r="10" spans="1:14" ht="15">
      <c r="A10" s="145" t="s">
        <v>896</v>
      </c>
      <c r="B10" s="146">
        <v>8.5</v>
      </c>
      <c r="C10" s="145"/>
      <c r="D10" s="145"/>
      <c r="E10" s="250"/>
      <c r="F10" s="250"/>
      <c r="G10" s="250"/>
      <c r="H10" s="250"/>
      <c r="I10" s="250"/>
      <c r="J10" s="250"/>
    </row>
    <row r="11" spans="1:14" ht="15">
      <c r="A11" s="145" t="s">
        <v>895</v>
      </c>
      <c r="B11" s="146">
        <v>4</v>
      </c>
      <c r="C11" s="145"/>
      <c r="D11" s="145"/>
      <c r="E11" s="145"/>
      <c r="F11" s="145"/>
      <c r="G11" s="145"/>
    </row>
    <row r="12" spans="1:14" ht="15">
      <c r="A12" s="145" t="s">
        <v>894</v>
      </c>
      <c r="B12" s="146">
        <v>5.9</v>
      </c>
      <c r="C12" s="145"/>
      <c r="D12" s="145"/>
      <c r="E12" s="145"/>
      <c r="F12" s="145"/>
      <c r="G12" s="145"/>
    </row>
    <row r="13" spans="1:14" ht="15">
      <c r="A13" s="145" t="s">
        <v>893</v>
      </c>
      <c r="B13" s="146">
        <v>8.5</v>
      </c>
      <c r="C13" s="145"/>
      <c r="D13" s="145"/>
      <c r="E13" s="145"/>
      <c r="F13" s="145"/>
      <c r="G13" s="145"/>
    </row>
    <row r="14" spans="1:14" ht="15">
      <c r="A14" s="145" t="s">
        <v>892</v>
      </c>
      <c r="B14" s="146">
        <v>7</v>
      </c>
      <c r="C14" s="145"/>
      <c r="D14" s="145"/>
      <c r="E14" s="145"/>
      <c r="F14" s="145"/>
      <c r="G14" s="145"/>
    </row>
    <row r="15" spans="1:14" ht="15">
      <c r="A15" s="145"/>
      <c r="B15" s="145"/>
      <c r="C15" s="145"/>
      <c r="D15" s="145"/>
      <c r="E15" s="145"/>
      <c r="F15" s="145"/>
      <c r="G15" s="14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D2E7F-9B8A-4C8C-B127-DFB51A956F83}">
  <sheetPr>
    <tabColor theme="3" tint="0.749992370372631"/>
  </sheetPr>
  <dimension ref="A2:W77"/>
  <sheetViews>
    <sheetView workbookViewId="0">
      <selection activeCell="C23" sqref="C23"/>
    </sheetView>
  </sheetViews>
  <sheetFormatPr defaultRowHeight="14.4"/>
  <cols>
    <col min="1" max="1" width="15.5546875" bestFit="1" customWidth="1"/>
    <col min="2" max="2" width="16.88671875" bestFit="1" customWidth="1"/>
    <col min="3" max="3" width="21.6640625" bestFit="1" customWidth="1"/>
    <col min="5" max="5" width="11" bestFit="1" customWidth="1"/>
  </cols>
  <sheetData>
    <row r="2" spans="1:8">
      <c r="A2" s="73" t="s">
        <v>681</v>
      </c>
      <c r="B2" s="72"/>
      <c r="C2" s="72"/>
    </row>
    <row r="3" spans="1:8">
      <c r="A3" s="71" t="s">
        <v>680</v>
      </c>
      <c r="B3" s="71" t="s">
        <v>679</v>
      </c>
      <c r="C3" s="71" t="s">
        <v>678</v>
      </c>
    </row>
    <row r="4" spans="1:8">
      <c r="A4" s="70">
        <v>10</v>
      </c>
      <c r="B4" s="70">
        <v>5</v>
      </c>
      <c r="C4" s="70">
        <v>12</v>
      </c>
    </row>
    <row r="5" spans="1:8">
      <c r="A5" s="70" t="s">
        <v>677</v>
      </c>
      <c r="B5" s="70" t="s">
        <v>676</v>
      </c>
      <c r="C5" s="70"/>
    </row>
    <row r="6" spans="1:8">
      <c r="A6" s="70">
        <v>25</v>
      </c>
      <c r="B6" s="70"/>
      <c r="C6" s="70" t="s">
        <v>675</v>
      </c>
    </row>
    <row r="7" spans="1:8">
      <c r="A7" s="70"/>
      <c r="B7" s="70" t="s">
        <v>674</v>
      </c>
      <c r="C7" s="70"/>
    </row>
    <row r="8" spans="1:8">
      <c r="A8" s="70">
        <v>40</v>
      </c>
      <c r="B8" s="70">
        <v>15</v>
      </c>
      <c r="C8" s="70">
        <v>30</v>
      </c>
    </row>
    <row r="9" spans="1:8">
      <c r="A9" s="168">
        <f>COUNT(A4:A8)</f>
        <v>3</v>
      </c>
      <c r="B9" s="168">
        <f>COUNTA(B4:B8)</f>
        <v>4</v>
      </c>
      <c r="C9" s="168">
        <f>COUNTBLANK(C4:C8)</f>
        <v>2</v>
      </c>
    </row>
    <row r="10" spans="1:8">
      <c r="A10" s="69"/>
      <c r="B10" s="190" t="s">
        <v>939</v>
      </c>
      <c r="C10" s="190"/>
      <c r="D10" s="191"/>
      <c r="E10" s="191"/>
      <c r="F10" s="191"/>
      <c r="G10" s="191"/>
      <c r="H10" s="191"/>
    </row>
    <row r="11" spans="1:8">
      <c r="A11" s="68"/>
      <c r="B11" s="68"/>
      <c r="C11" s="68"/>
    </row>
    <row r="14" spans="1:8" ht="15" thickBot="1">
      <c r="A14" s="45" t="s">
        <v>673</v>
      </c>
    </row>
    <row r="15" spans="1:8" ht="15" thickBot="1">
      <c r="A15" s="58" t="s">
        <v>121</v>
      </c>
      <c r="B15" s="57" t="s">
        <v>672</v>
      </c>
      <c r="C15" s="57" t="s">
        <v>671</v>
      </c>
      <c r="D15" s="57" t="s">
        <v>670</v>
      </c>
      <c r="E15" s="67" t="s">
        <v>669</v>
      </c>
    </row>
    <row r="16" spans="1:8">
      <c r="A16" s="66" t="s">
        <v>668</v>
      </c>
      <c r="B16" s="65">
        <v>57</v>
      </c>
      <c r="C16" s="65">
        <v>63</v>
      </c>
      <c r="D16" s="65">
        <v>82</v>
      </c>
      <c r="E16" s="64">
        <f>SUM(B16:D16)/300</f>
        <v>0.67333333333333334</v>
      </c>
    </row>
    <row r="17" spans="1:10">
      <c r="A17" s="63" t="s">
        <v>667</v>
      </c>
      <c r="B17" s="10">
        <v>78</v>
      </c>
      <c r="C17" s="10">
        <v>67</v>
      </c>
      <c r="D17" s="10">
        <v>75</v>
      </c>
      <c r="E17" s="62">
        <f>SUM(B17:D17)/300</f>
        <v>0.73333333333333328</v>
      </c>
      <c r="G17" s="176"/>
      <c r="H17" s="176"/>
      <c r="I17" s="176"/>
      <c r="J17" s="176"/>
    </row>
    <row r="18" spans="1:10">
      <c r="A18" s="63" t="s">
        <v>666</v>
      </c>
      <c r="B18" s="10">
        <v>63</v>
      </c>
      <c r="C18" s="10">
        <v>57</v>
      </c>
      <c r="D18" s="10">
        <v>73</v>
      </c>
      <c r="E18" s="62">
        <f>SUM(B18:D18)/300</f>
        <v>0.64333333333333331</v>
      </c>
    </row>
    <row r="19" spans="1:10" ht="15" thickBot="1">
      <c r="A19" s="61" t="s">
        <v>665</v>
      </c>
      <c r="B19" s="60">
        <v>67</v>
      </c>
      <c r="C19" s="60">
        <v>52</v>
      </c>
      <c r="D19" s="60">
        <v>82</v>
      </c>
      <c r="E19" s="59">
        <f>SUM(B19:D19)/300</f>
        <v>0.67</v>
      </c>
    </row>
    <row r="20" spans="1:10" ht="15" thickBot="1">
      <c r="A20" s="58" t="s">
        <v>657</v>
      </c>
      <c r="B20" s="215">
        <f>SUM(Toyota)</f>
        <v>265</v>
      </c>
      <c r="C20" s="216">
        <f>SUM(Honda)</f>
        <v>239</v>
      </c>
      <c r="D20" s="216">
        <f>SUM(Hyundai)</f>
        <v>312</v>
      </c>
    </row>
    <row r="27" spans="1:10">
      <c r="A27" s="45" t="s">
        <v>664</v>
      </c>
    </row>
    <row r="28" spans="1:10">
      <c r="A28" s="217">
        <f>HYPERLINK("#B20", B20)</f>
        <v>265</v>
      </c>
      <c r="B28" s="4"/>
    </row>
    <row r="32" spans="1:10">
      <c r="A32" t="s">
        <v>663</v>
      </c>
    </row>
    <row r="34" spans="1:23">
      <c r="A34" s="56" t="s">
        <v>662</v>
      </c>
      <c r="B34" s="56" t="s">
        <v>661</v>
      </c>
      <c r="C34" s="55" t="s">
        <v>660</v>
      </c>
      <c r="D34" s="55" t="s">
        <v>659</v>
      </c>
      <c r="E34" s="55" t="s">
        <v>658</v>
      </c>
      <c r="F34" s="55" t="s">
        <v>657</v>
      </c>
      <c r="H34" s="54" t="s">
        <v>656</v>
      </c>
      <c r="I34" s="54" t="s">
        <v>655</v>
      </c>
    </row>
    <row r="35" spans="1:23">
      <c r="A35" s="52" t="s">
        <v>647</v>
      </c>
      <c r="B35" s="52" t="s">
        <v>646</v>
      </c>
      <c r="C35" s="53" t="s">
        <v>636</v>
      </c>
      <c r="D35" s="52">
        <v>95</v>
      </c>
      <c r="E35" s="51">
        <v>1.99</v>
      </c>
      <c r="F35" s="50">
        <f t="shared" ref="F35:F77" si="0">D35*E35</f>
        <v>189.05</v>
      </c>
      <c r="H35" t="s">
        <v>654</v>
      </c>
      <c r="I35" t="s">
        <v>653</v>
      </c>
      <c r="O35" s="212" t="s">
        <v>975</v>
      </c>
      <c r="P35" s="213" t="s">
        <v>974</v>
      </c>
      <c r="Q35" s="213"/>
      <c r="R35" s="213"/>
      <c r="S35" s="213"/>
      <c r="T35" s="214"/>
      <c r="U35" s="214"/>
      <c r="V35" s="214"/>
      <c r="W35" s="207"/>
    </row>
    <row r="36" spans="1:23">
      <c r="A36" s="52" t="s">
        <v>634</v>
      </c>
      <c r="B36" s="52" t="s">
        <v>644</v>
      </c>
      <c r="C36" s="53" t="s">
        <v>632</v>
      </c>
      <c r="D36" s="52">
        <v>50</v>
      </c>
      <c r="E36" s="51">
        <v>19.989999999999998</v>
      </c>
      <c r="F36" s="50">
        <f t="shared" si="0"/>
        <v>999.49999999999989</v>
      </c>
      <c r="H36" t="s">
        <v>652</v>
      </c>
      <c r="I36" t="s">
        <v>651</v>
      </c>
    </row>
    <row r="37" spans="1:23">
      <c r="A37" s="52" t="s">
        <v>634</v>
      </c>
      <c r="B37" s="52" t="s">
        <v>635</v>
      </c>
      <c r="C37" s="53" t="s">
        <v>636</v>
      </c>
      <c r="D37" s="52">
        <v>36</v>
      </c>
      <c r="E37" s="51">
        <v>4.99</v>
      </c>
      <c r="F37" s="50">
        <f t="shared" si="0"/>
        <v>179.64000000000001</v>
      </c>
    </row>
    <row r="38" spans="1:23">
      <c r="A38" s="52" t="s">
        <v>634</v>
      </c>
      <c r="B38" s="52" t="s">
        <v>641</v>
      </c>
      <c r="C38" s="53" t="s">
        <v>639</v>
      </c>
      <c r="D38" s="52">
        <v>27</v>
      </c>
      <c r="E38" s="51">
        <v>19.989999999999998</v>
      </c>
      <c r="F38" s="50">
        <f t="shared" si="0"/>
        <v>539.7299999999999</v>
      </c>
    </row>
    <row r="39" spans="1:23">
      <c r="A39" s="52" t="s">
        <v>638</v>
      </c>
      <c r="B39" s="52" t="s">
        <v>640</v>
      </c>
      <c r="C39" s="53" t="s">
        <v>636</v>
      </c>
      <c r="D39" s="52">
        <v>56</v>
      </c>
      <c r="E39" s="51">
        <v>2.99</v>
      </c>
      <c r="F39" s="50">
        <f t="shared" si="0"/>
        <v>167.44</v>
      </c>
    </row>
    <row r="40" spans="1:23">
      <c r="A40" s="52" t="s">
        <v>647</v>
      </c>
      <c r="B40" s="52" t="s">
        <v>646</v>
      </c>
      <c r="C40" s="53" t="s">
        <v>632</v>
      </c>
      <c r="D40" s="52">
        <v>60</v>
      </c>
      <c r="E40" s="51">
        <v>4.99</v>
      </c>
      <c r="F40" s="50">
        <f t="shared" si="0"/>
        <v>299.40000000000003</v>
      </c>
    </row>
    <row r="41" spans="1:23">
      <c r="A41" s="52" t="s">
        <v>634</v>
      </c>
      <c r="B41" s="52" t="s">
        <v>633</v>
      </c>
      <c r="C41" s="53" t="s">
        <v>636</v>
      </c>
      <c r="D41" s="52">
        <v>75</v>
      </c>
      <c r="E41" s="51">
        <v>1.99</v>
      </c>
      <c r="F41" s="50">
        <f t="shared" si="0"/>
        <v>149.25</v>
      </c>
    </row>
    <row r="42" spans="1:23">
      <c r="A42" s="52" t="s">
        <v>634</v>
      </c>
      <c r="B42" s="52" t="s">
        <v>635</v>
      </c>
      <c r="C42" s="53" t="s">
        <v>636</v>
      </c>
      <c r="D42" s="52">
        <v>90</v>
      </c>
      <c r="E42" s="51">
        <v>4.99</v>
      </c>
      <c r="F42" s="50">
        <f t="shared" si="0"/>
        <v>449.1</v>
      </c>
    </row>
    <row r="43" spans="1:23">
      <c r="A43" s="52" t="s">
        <v>638</v>
      </c>
      <c r="B43" s="52" t="s">
        <v>637</v>
      </c>
      <c r="C43" s="53" t="s">
        <v>636</v>
      </c>
      <c r="D43" s="52">
        <v>32</v>
      </c>
      <c r="E43" s="51">
        <v>1.99</v>
      </c>
      <c r="F43" s="50">
        <f t="shared" si="0"/>
        <v>63.68</v>
      </c>
    </row>
    <row r="44" spans="1:23">
      <c r="A44" s="52" t="s">
        <v>647</v>
      </c>
      <c r="B44" s="52" t="s">
        <v>646</v>
      </c>
      <c r="C44" s="53" t="s">
        <v>632</v>
      </c>
      <c r="D44" s="52">
        <v>60</v>
      </c>
      <c r="E44" s="51">
        <v>8.99</v>
      </c>
      <c r="F44" s="50">
        <f t="shared" si="0"/>
        <v>539.4</v>
      </c>
    </row>
    <row r="45" spans="1:23">
      <c r="A45" s="52" t="s">
        <v>634</v>
      </c>
      <c r="B45" s="52" t="s">
        <v>645</v>
      </c>
      <c r="C45" s="53" t="s">
        <v>636</v>
      </c>
      <c r="D45" s="52">
        <v>90</v>
      </c>
      <c r="E45" s="51">
        <v>4.99</v>
      </c>
      <c r="F45" s="50">
        <f t="shared" si="0"/>
        <v>449.1</v>
      </c>
    </row>
    <row r="46" spans="1:23">
      <c r="A46" s="52" t="s">
        <v>647</v>
      </c>
      <c r="B46" s="52" t="s">
        <v>648</v>
      </c>
      <c r="C46" s="53" t="s">
        <v>632</v>
      </c>
      <c r="D46" s="52">
        <v>29</v>
      </c>
      <c r="E46" s="51">
        <v>1.99</v>
      </c>
      <c r="F46" s="50">
        <f t="shared" si="0"/>
        <v>57.71</v>
      </c>
    </row>
    <row r="47" spans="1:23">
      <c r="A47" s="52" t="s">
        <v>647</v>
      </c>
      <c r="B47" s="52" t="s">
        <v>650</v>
      </c>
      <c r="C47" s="53" t="s">
        <v>632</v>
      </c>
      <c r="D47" s="52">
        <v>81</v>
      </c>
      <c r="E47" s="51">
        <v>19.989999999999998</v>
      </c>
      <c r="F47" s="50">
        <f t="shared" si="0"/>
        <v>1619.1899999999998</v>
      </c>
    </row>
    <row r="48" spans="1:23">
      <c r="A48" s="52" t="s">
        <v>647</v>
      </c>
      <c r="B48" s="52" t="s">
        <v>646</v>
      </c>
      <c r="C48" s="53" t="s">
        <v>636</v>
      </c>
      <c r="D48" s="52">
        <v>35</v>
      </c>
      <c r="E48" s="51">
        <v>4.99</v>
      </c>
      <c r="F48" s="50">
        <f t="shared" si="0"/>
        <v>174.65</v>
      </c>
    </row>
    <row r="49" spans="1:6">
      <c r="A49" s="52" t="s">
        <v>634</v>
      </c>
      <c r="B49" s="52" t="s">
        <v>649</v>
      </c>
      <c r="C49" s="53" t="s">
        <v>642</v>
      </c>
      <c r="D49" s="52">
        <v>2</v>
      </c>
      <c r="E49" s="51">
        <v>125</v>
      </c>
      <c r="F49" s="50">
        <f t="shared" si="0"/>
        <v>250</v>
      </c>
    </row>
    <row r="50" spans="1:6">
      <c r="A50" s="52" t="s">
        <v>647</v>
      </c>
      <c r="B50" s="52" t="s">
        <v>646</v>
      </c>
      <c r="C50" s="53" t="s">
        <v>643</v>
      </c>
      <c r="D50" s="52">
        <v>16</v>
      </c>
      <c r="E50" s="51">
        <v>15.99</v>
      </c>
      <c r="F50" s="50">
        <f t="shared" si="0"/>
        <v>255.84</v>
      </c>
    </row>
    <row r="51" spans="1:6">
      <c r="A51" s="52" t="s">
        <v>634</v>
      </c>
      <c r="B51" s="52" t="s">
        <v>645</v>
      </c>
      <c r="C51" s="53" t="s">
        <v>632</v>
      </c>
      <c r="D51" s="52">
        <v>28</v>
      </c>
      <c r="E51" s="51">
        <v>8.99</v>
      </c>
      <c r="F51" s="50">
        <f t="shared" si="0"/>
        <v>251.72</v>
      </c>
    </row>
    <row r="52" spans="1:6">
      <c r="A52" s="52" t="s">
        <v>647</v>
      </c>
      <c r="B52" s="52" t="s">
        <v>646</v>
      </c>
      <c r="C52" s="53" t="s">
        <v>639</v>
      </c>
      <c r="D52" s="52">
        <v>64</v>
      </c>
      <c r="E52" s="51">
        <v>8.99</v>
      </c>
      <c r="F52" s="50">
        <f t="shared" si="0"/>
        <v>575.36</v>
      </c>
    </row>
    <row r="53" spans="1:6">
      <c r="A53" s="52" t="s">
        <v>647</v>
      </c>
      <c r="B53" s="52" t="s">
        <v>650</v>
      </c>
      <c r="C53" s="53" t="s">
        <v>639</v>
      </c>
      <c r="D53" s="52">
        <v>15</v>
      </c>
      <c r="E53" s="51">
        <v>19.989999999999998</v>
      </c>
      <c r="F53" s="50">
        <f t="shared" si="0"/>
        <v>299.84999999999997</v>
      </c>
    </row>
    <row r="54" spans="1:6">
      <c r="A54" s="52" t="s">
        <v>634</v>
      </c>
      <c r="B54" s="52" t="s">
        <v>644</v>
      </c>
      <c r="C54" s="53" t="s">
        <v>643</v>
      </c>
      <c r="D54" s="52">
        <v>96</v>
      </c>
      <c r="E54" s="51">
        <v>4.99</v>
      </c>
      <c r="F54" s="50">
        <f t="shared" si="0"/>
        <v>479.04</v>
      </c>
    </row>
    <row r="55" spans="1:6">
      <c r="A55" s="52" t="s">
        <v>634</v>
      </c>
      <c r="B55" s="52" t="s">
        <v>649</v>
      </c>
      <c r="C55" s="53" t="s">
        <v>636</v>
      </c>
      <c r="D55" s="52">
        <v>67</v>
      </c>
      <c r="E55" s="51">
        <v>1.29</v>
      </c>
      <c r="F55" s="50">
        <f t="shared" si="0"/>
        <v>86.43</v>
      </c>
    </row>
    <row r="56" spans="1:6">
      <c r="A56" s="52" t="s">
        <v>647</v>
      </c>
      <c r="B56" s="52" t="s">
        <v>650</v>
      </c>
      <c r="C56" s="53" t="s">
        <v>643</v>
      </c>
      <c r="D56" s="52">
        <v>74</v>
      </c>
      <c r="E56" s="51">
        <v>15.99</v>
      </c>
      <c r="F56" s="50">
        <f t="shared" si="0"/>
        <v>1183.26</v>
      </c>
    </row>
    <row r="57" spans="1:6">
      <c r="A57" s="52" t="s">
        <v>634</v>
      </c>
      <c r="B57" s="52" t="s">
        <v>641</v>
      </c>
      <c r="C57" s="53" t="s">
        <v>632</v>
      </c>
      <c r="D57" s="52">
        <v>46</v>
      </c>
      <c r="E57" s="51">
        <v>8.99</v>
      </c>
      <c r="F57" s="50">
        <f t="shared" si="0"/>
        <v>413.54</v>
      </c>
    </row>
    <row r="58" spans="1:6">
      <c r="A58" s="52" t="s">
        <v>634</v>
      </c>
      <c r="B58" s="52" t="s">
        <v>649</v>
      </c>
      <c r="C58" s="53" t="s">
        <v>632</v>
      </c>
      <c r="D58" s="52">
        <v>87</v>
      </c>
      <c r="E58" s="51">
        <v>15</v>
      </c>
      <c r="F58" s="50">
        <f t="shared" si="0"/>
        <v>1305</v>
      </c>
    </row>
    <row r="59" spans="1:6">
      <c r="A59" s="52" t="s">
        <v>647</v>
      </c>
      <c r="B59" s="52" t="s">
        <v>646</v>
      </c>
      <c r="C59" s="53" t="s">
        <v>632</v>
      </c>
      <c r="D59" s="52">
        <v>4</v>
      </c>
      <c r="E59" s="51">
        <v>4.99</v>
      </c>
      <c r="F59" s="50">
        <f t="shared" si="0"/>
        <v>19.96</v>
      </c>
    </row>
    <row r="60" spans="1:6">
      <c r="A60" s="52" t="s">
        <v>638</v>
      </c>
      <c r="B60" s="52" t="s">
        <v>640</v>
      </c>
      <c r="C60" s="53" t="s">
        <v>632</v>
      </c>
      <c r="D60" s="52">
        <v>7</v>
      </c>
      <c r="E60" s="51">
        <v>19.989999999999998</v>
      </c>
      <c r="F60" s="50">
        <f t="shared" si="0"/>
        <v>139.92999999999998</v>
      </c>
    </row>
    <row r="61" spans="1:6">
      <c r="A61" s="52" t="s">
        <v>634</v>
      </c>
      <c r="B61" s="52" t="s">
        <v>635</v>
      </c>
      <c r="C61" s="53" t="s">
        <v>643</v>
      </c>
      <c r="D61" s="52">
        <v>50</v>
      </c>
      <c r="E61" s="51">
        <v>4.99</v>
      </c>
      <c r="F61" s="50">
        <f t="shared" si="0"/>
        <v>249.5</v>
      </c>
    </row>
    <row r="62" spans="1:6">
      <c r="A62" s="52" t="s">
        <v>634</v>
      </c>
      <c r="B62" s="52" t="s">
        <v>633</v>
      </c>
      <c r="C62" s="53" t="s">
        <v>636</v>
      </c>
      <c r="D62" s="52">
        <v>66</v>
      </c>
      <c r="E62" s="51">
        <v>1.99</v>
      </c>
      <c r="F62" s="50">
        <f t="shared" si="0"/>
        <v>131.34</v>
      </c>
    </row>
    <row r="63" spans="1:6">
      <c r="A63" s="52" t="s">
        <v>647</v>
      </c>
      <c r="B63" s="52" t="s">
        <v>648</v>
      </c>
      <c r="C63" s="53" t="s">
        <v>639</v>
      </c>
      <c r="D63" s="52">
        <v>96</v>
      </c>
      <c r="E63" s="51">
        <v>4.99</v>
      </c>
      <c r="F63" s="50">
        <f t="shared" si="0"/>
        <v>479.04</v>
      </c>
    </row>
    <row r="64" spans="1:6">
      <c r="A64" s="52" t="s">
        <v>634</v>
      </c>
      <c r="B64" s="52" t="s">
        <v>641</v>
      </c>
      <c r="C64" s="53" t="s">
        <v>636</v>
      </c>
      <c r="D64" s="52">
        <v>53</v>
      </c>
      <c r="E64" s="51">
        <v>1.29</v>
      </c>
      <c r="F64" s="50">
        <f t="shared" si="0"/>
        <v>68.37</v>
      </c>
    </row>
    <row r="65" spans="1:6">
      <c r="A65" s="52" t="s">
        <v>634</v>
      </c>
      <c r="B65" s="52" t="s">
        <v>641</v>
      </c>
      <c r="C65" s="53" t="s">
        <v>632</v>
      </c>
      <c r="D65" s="52">
        <v>80</v>
      </c>
      <c r="E65" s="51">
        <v>8.99</v>
      </c>
      <c r="F65" s="50">
        <f t="shared" si="0"/>
        <v>719.2</v>
      </c>
    </row>
    <row r="66" spans="1:6">
      <c r="A66" s="52" t="s">
        <v>634</v>
      </c>
      <c r="B66" s="52" t="s">
        <v>644</v>
      </c>
      <c r="C66" s="53" t="s">
        <v>642</v>
      </c>
      <c r="D66" s="52">
        <v>5</v>
      </c>
      <c r="E66" s="51">
        <v>125</v>
      </c>
      <c r="F66" s="50">
        <f t="shared" si="0"/>
        <v>625</v>
      </c>
    </row>
    <row r="67" spans="1:6">
      <c r="A67" s="52" t="s">
        <v>647</v>
      </c>
      <c r="B67" s="52" t="s">
        <v>646</v>
      </c>
      <c r="C67" s="53" t="s">
        <v>643</v>
      </c>
      <c r="D67" s="52">
        <v>62</v>
      </c>
      <c r="E67" s="51">
        <v>4.99</v>
      </c>
      <c r="F67" s="50">
        <f t="shared" si="0"/>
        <v>309.38</v>
      </c>
    </row>
    <row r="68" spans="1:6">
      <c r="A68" s="52" t="s">
        <v>634</v>
      </c>
      <c r="B68" s="52" t="s">
        <v>645</v>
      </c>
      <c r="C68" s="53" t="s">
        <v>643</v>
      </c>
      <c r="D68" s="52">
        <v>55</v>
      </c>
      <c r="E68" s="51">
        <v>12.49</v>
      </c>
      <c r="F68" s="50">
        <f t="shared" si="0"/>
        <v>686.95</v>
      </c>
    </row>
    <row r="69" spans="1:6">
      <c r="A69" s="52" t="s">
        <v>634</v>
      </c>
      <c r="B69" s="52" t="s">
        <v>644</v>
      </c>
      <c r="C69" s="53" t="s">
        <v>643</v>
      </c>
      <c r="D69" s="52">
        <v>42</v>
      </c>
      <c r="E69" s="51">
        <v>23.95</v>
      </c>
      <c r="F69" s="50">
        <f t="shared" si="0"/>
        <v>1005.9</v>
      </c>
    </row>
    <row r="70" spans="1:6">
      <c r="A70" s="52" t="s">
        <v>638</v>
      </c>
      <c r="B70" s="52" t="s">
        <v>640</v>
      </c>
      <c r="C70" s="53" t="s">
        <v>642</v>
      </c>
      <c r="D70" s="52">
        <v>3</v>
      </c>
      <c r="E70" s="51">
        <v>275</v>
      </c>
      <c r="F70" s="50">
        <f t="shared" si="0"/>
        <v>825</v>
      </c>
    </row>
    <row r="71" spans="1:6">
      <c r="A71" s="52" t="s">
        <v>634</v>
      </c>
      <c r="B71" s="52" t="s">
        <v>641</v>
      </c>
      <c r="C71" s="53" t="s">
        <v>636</v>
      </c>
      <c r="D71" s="52">
        <v>7</v>
      </c>
      <c r="E71" s="51">
        <v>1.29</v>
      </c>
      <c r="F71" s="50">
        <f t="shared" si="0"/>
        <v>9.0300000000000011</v>
      </c>
    </row>
    <row r="72" spans="1:6">
      <c r="A72" s="52" t="s">
        <v>638</v>
      </c>
      <c r="B72" s="52" t="s">
        <v>640</v>
      </c>
      <c r="C72" s="53" t="s">
        <v>639</v>
      </c>
      <c r="D72" s="52">
        <v>76</v>
      </c>
      <c r="E72" s="51">
        <v>1.99</v>
      </c>
      <c r="F72" s="50">
        <f t="shared" si="0"/>
        <v>151.24</v>
      </c>
    </row>
    <row r="73" spans="1:6">
      <c r="A73" s="52" t="s">
        <v>638</v>
      </c>
      <c r="B73" s="52" t="s">
        <v>637</v>
      </c>
      <c r="C73" s="53" t="s">
        <v>632</v>
      </c>
      <c r="D73" s="52">
        <v>57</v>
      </c>
      <c r="E73" s="51">
        <v>19.989999999999998</v>
      </c>
      <c r="F73" s="50">
        <f t="shared" si="0"/>
        <v>1139.4299999999998</v>
      </c>
    </row>
    <row r="74" spans="1:6">
      <c r="A74" s="52" t="s">
        <v>634</v>
      </c>
      <c r="B74" s="52" t="s">
        <v>633</v>
      </c>
      <c r="C74" s="53" t="s">
        <v>636</v>
      </c>
      <c r="D74" s="52">
        <v>14</v>
      </c>
      <c r="E74" s="51">
        <v>1.29</v>
      </c>
      <c r="F74" s="50">
        <f t="shared" si="0"/>
        <v>18.060000000000002</v>
      </c>
    </row>
    <row r="75" spans="1:6">
      <c r="A75" s="52" t="s">
        <v>634</v>
      </c>
      <c r="B75" s="52" t="s">
        <v>635</v>
      </c>
      <c r="C75" s="53" t="s">
        <v>632</v>
      </c>
      <c r="D75" s="52">
        <v>11</v>
      </c>
      <c r="E75" s="51">
        <v>4.99</v>
      </c>
      <c r="F75" s="50">
        <f t="shared" si="0"/>
        <v>54.89</v>
      </c>
    </row>
    <row r="76" spans="1:6">
      <c r="A76" s="52" t="s">
        <v>634</v>
      </c>
      <c r="B76" s="52" t="s">
        <v>635</v>
      </c>
      <c r="C76" s="53" t="s">
        <v>632</v>
      </c>
      <c r="D76" s="52">
        <v>94</v>
      </c>
      <c r="E76" s="51">
        <v>19.989999999999998</v>
      </c>
      <c r="F76" s="50">
        <f t="shared" si="0"/>
        <v>1879.06</v>
      </c>
    </row>
    <row r="77" spans="1:6">
      <c r="A77" s="52" t="s">
        <v>634</v>
      </c>
      <c r="B77" s="52" t="s">
        <v>633</v>
      </c>
      <c r="C77" s="53" t="s">
        <v>632</v>
      </c>
      <c r="D77" s="52">
        <v>28</v>
      </c>
      <c r="E77" s="51">
        <v>4.99</v>
      </c>
      <c r="F77" s="50">
        <f t="shared" si="0"/>
        <v>139.72</v>
      </c>
    </row>
  </sheetData>
  <mergeCells count="1">
    <mergeCell ref="G17:J17"/>
  </mergeCells>
  <conditionalFormatting sqref="C35:C77">
    <cfRule type="containsText" dxfId="0" priority="3" operator="containsText" text="Binder">
      <formula>NOT(ISERROR(SEARCH("Binder",C35)))</formula>
    </cfRule>
    <cfRule type="dataBar" priority="4">
      <dataBar>
        <cfvo type="min"/>
        <cfvo type="max"/>
        <color rgb="FF638EC6"/>
      </dataBar>
      <extLst>
        <ext xmlns:x14="http://schemas.microsoft.com/office/spreadsheetml/2009/9/main" uri="{B025F937-C7B1-47D3-B67F-A62EFF666E3E}">
          <x14:id>{C5C06AF4-602F-4660-B540-6586FAD358AC}</x14:id>
        </ext>
      </extLst>
    </cfRule>
  </conditionalFormatting>
  <conditionalFormatting sqref="E35:E77">
    <cfRule type="dataBar" priority="2">
      <dataBar>
        <cfvo type="min"/>
        <cfvo type="max"/>
        <color rgb="FF008AEF"/>
      </dataBar>
      <extLst>
        <ext xmlns:x14="http://schemas.microsoft.com/office/spreadsheetml/2009/9/main" uri="{B025F937-C7B1-47D3-B67F-A62EFF666E3E}">
          <x14:id>{460807E1-F5B9-4303-B029-BEEA85B9D55A}</x14:id>
        </ext>
      </extLst>
    </cfRule>
  </conditionalFormatting>
  <conditionalFormatting sqref="F61:F77">
    <cfRule type="dataBar" priority="1">
      <dataBar>
        <cfvo type="min"/>
        <cfvo type="max"/>
        <color rgb="FFD6007B"/>
      </dataBar>
      <extLst>
        <ext xmlns:x14="http://schemas.microsoft.com/office/spreadsheetml/2009/9/main" uri="{B025F937-C7B1-47D3-B67F-A62EFF666E3E}">
          <x14:id>{CAF73348-E562-4443-8834-31CAAB1622BD}</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5C06AF4-602F-4660-B540-6586FAD358AC}">
            <x14:dataBar minLength="0" maxLength="100" border="1" negativeBarBorderColorSameAsPositive="0">
              <x14:cfvo type="autoMin"/>
              <x14:cfvo type="autoMax"/>
              <x14:borderColor rgb="FF638EC6"/>
              <x14:negativeFillColor rgb="FFFF0000"/>
              <x14:negativeBorderColor rgb="FFFF0000"/>
              <x14:axisColor rgb="FF000000"/>
            </x14:dataBar>
          </x14:cfRule>
          <xm:sqref>C35:C77</xm:sqref>
        </x14:conditionalFormatting>
        <x14:conditionalFormatting xmlns:xm="http://schemas.microsoft.com/office/excel/2006/main">
          <x14:cfRule type="dataBar" id="{460807E1-F5B9-4303-B029-BEEA85B9D55A}">
            <x14:dataBar minLength="0" maxLength="100" border="1" negativeBarBorderColorSameAsPositive="0">
              <x14:cfvo type="autoMin"/>
              <x14:cfvo type="autoMax"/>
              <x14:borderColor rgb="FF008AEF"/>
              <x14:negativeFillColor rgb="FFFF0000"/>
              <x14:negativeBorderColor rgb="FFFF0000"/>
              <x14:axisColor rgb="FF000000"/>
            </x14:dataBar>
          </x14:cfRule>
          <xm:sqref>E35:E77</xm:sqref>
        </x14:conditionalFormatting>
        <x14:conditionalFormatting xmlns:xm="http://schemas.microsoft.com/office/excel/2006/main">
          <x14:cfRule type="dataBar" id="{CAF73348-E562-4443-8834-31CAAB1622BD}">
            <x14:dataBar minLength="0" maxLength="100" gradient="0">
              <x14:cfvo type="autoMin"/>
              <x14:cfvo type="autoMax"/>
              <x14:negativeFillColor rgb="FFFF0000"/>
              <x14:axisColor rgb="FF000000"/>
            </x14:dataBar>
          </x14:cfRule>
          <xm:sqref>F61:F77</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75CA9-B12C-4BA1-9304-2E05458757E9}">
  <sheetPr>
    <tabColor theme="3" tint="0.749992370372631"/>
  </sheetPr>
  <dimension ref="A1:I53"/>
  <sheetViews>
    <sheetView topLeftCell="A41" workbookViewId="0">
      <selection activeCell="C15" sqref="C15"/>
    </sheetView>
  </sheetViews>
  <sheetFormatPr defaultRowHeight="14.4"/>
  <cols>
    <col min="1" max="1" width="93" bestFit="1" customWidth="1"/>
    <col min="2" max="2" width="47.6640625" customWidth="1"/>
    <col min="3" max="3" width="13.88671875" customWidth="1"/>
  </cols>
  <sheetData>
    <row r="1" spans="1:9" ht="15.6">
      <c r="A1" s="177" t="s">
        <v>631</v>
      </c>
      <c r="B1" s="177"/>
    </row>
    <row r="2" spans="1:9">
      <c r="A2" s="178"/>
      <c r="B2" s="178"/>
    </row>
    <row r="3" spans="1:9">
      <c r="A3" s="10" t="s">
        <v>630</v>
      </c>
      <c r="B3" s="5"/>
    </row>
    <row r="4" spans="1:9">
      <c r="A4" s="10" t="s">
        <v>629</v>
      </c>
      <c r="B4" s="154">
        <v>125678</v>
      </c>
    </row>
    <row r="5" spans="1:9">
      <c r="A5" s="10" t="s">
        <v>628</v>
      </c>
      <c r="B5" s="155">
        <v>111122</v>
      </c>
    </row>
    <row r="6" spans="1:9">
      <c r="A6" s="10" t="s">
        <v>627</v>
      </c>
      <c r="B6" s="156">
        <v>43647</v>
      </c>
    </row>
    <row r="7" spans="1:9">
      <c r="A7" s="10" t="s">
        <v>626</v>
      </c>
      <c r="B7" s="157">
        <v>5.5999999999999999E-3</v>
      </c>
    </row>
    <row r="8" spans="1:9">
      <c r="A8" s="10" t="s">
        <v>625</v>
      </c>
      <c r="B8" s="158">
        <v>1225</v>
      </c>
    </row>
    <row r="10" spans="1:9">
      <c r="A10" s="47" t="s">
        <v>624</v>
      </c>
      <c r="B10" s="47"/>
      <c r="C10" s="48"/>
    </row>
    <row r="11" spans="1:9">
      <c r="A11" s="47">
        <f>B11+B12</f>
        <v>24</v>
      </c>
      <c r="B11" s="49">
        <v>12</v>
      </c>
      <c r="C11" s="48"/>
      <c r="E11" s="10">
        <v>11</v>
      </c>
      <c r="F11" s="10">
        <v>11</v>
      </c>
      <c r="G11" s="10">
        <v>11</v>
      </c>
      <c r="I11" s="162">
        <f>$E$11+F11</f>
        <v>22</v>
      </c>
    </row>
    <row r="12" spans="1:9">
      <c r="A12" s="169">
        <f>B11+B12</f>
        <v>24</v>
      </c>
      <c r="B12" s="49">
        <v>12</v>
      </c>
      <c r="C12" s="159" t="s">
        <v>936</v>
      </c>
      <c r="E12" s="10">
        <v>12</v>
      </c>
      <c r="F12" s="10">
        <v>23</v>
      </c>
      <c r="G12" s="10">
        <v>12</v>
      </c>
      <c r="I12" s="162">
        <f t="shared" ref="I12:I14" si="0">$E$11+F12</f>
        <v>34</v>
      </c>
    </row>
    <row r="13" spans="1:9">
      <c r="A13" s="47" t="s">
        <v>623</v>
      </c>
      <c r="B13" s="10" t="s">
        <v>946</v>
      </c>
      <c r="E13" s="10">
        <v>12</v>
      </c>
      <c r="F13" s="10">
        <v>23</v>
      </c>
      <c r="G13" s="10">
        <v>13</v>
      </c>
      <c r="I13" s="162">
        <f t="shared" si="0"/>
        <v>34</v>
      </c>
    </row>
    <row r="14" spans="1:9">
      <c r="E14" s="10">
        <v>14</v>
      </c>
      <c r="F14" s="10">
        <v>23</v>
      </c>
      <c r="G14" s="10">
        <v>12</v>
      </c>
      <c r="I14" s="162">
        <f t="shared" si="0"/>
        <v>34</v>
      </c>
    </row>
    <row r="15" spans="1:9">
      <c r="A15" s="10" t="s">
        <v>622</v>
      </c>
      <c r="B15" s="10"/>
    </row>
    <row r="16" spans="1:9">
      <c r="A16" s="10" t="s">
        <v>621</v>
      </c>
      <c r="B16" s="10"/>
    </row>
    <row r="17" spans="1:2">
      <c r="A17" s="170" t="s">
        <v>620</v>
      </c>
      <c r="B17" s="170" t="s">
        <v>940</v>
      </c>
    </row>
    <row r="18" spans="1:2">
      <c r="A18" s="10" t="s">
        <v>619</v>
      </c>
      <c r="B18" s="10"/>
    </row>
    <row r="19" spans="1:2">
      <c r="A19" s="10" t="s">
        <v>618</v>
      </c>
      <c r="B19" s="10"/>
    </row>
    <row r="21" spans="1:2">
      <c r="A21" s="10" t="s">
        <v>617</v>
      </c>
      <c r="B21" s="170" t="s">
        <v>945</v>
      </c>
    </row>
    <row r="22" spans="1:2">
      <c r="A22" s="10" t="s">
        <v>616</v>
      </c>
      <c r="B22" s="10"/>
    </row>
    <row r="23" spans="1:2">
      <c r="A23" s="170" t="s">
        <v>615</v>
      </c>
      <c r="B23" s="10"/>
    </row>
    <row r="24" spans="1:2">
      <c r="A24" s="10" t="s">
        <v>614</v>
      </c>
      <c r="B24" s="10"/>
    </row>
    <row r="25" spans="1:2">
      <c r="A25" s="60" t="s">
        <v>613</v>
      </c>
      <c r="B25" s="60"/>
    </row>
    <row r="26" spans="1:2" s="182" customFormat="1"/>
    <row r="27" spans="1:2">
      <c r="A27" s="65" t="s">
        <v>612</v>
      </c>
      <c r="B27" s="184" t="s">
        <v>944</v>
      </c>
    </row>
    <row r="28" spans="1:2">
      <c r="A28" s="10" t="s">
        <v>611</v>
      </c>
      <c r="B28" s="10"/>
    </row>
    <row r="29" spans="1:2">
      <c r="A29" s="170" t="s">
        <v>610</v>
      </c>
      <c r="B29" s="10"/>
    </row>
    <row r="30" spans="1:2">
      <c r="A30" s="10" t="s">
        <v>609</v>
      </c>
      <c r="B30" s="10"/>
    </row>
    <row r="31" spans="1:2">
      <c r="A31" s="10" t="s">
        <v>608</v>
      </c>
      <c r="B31" s="10"/>
    </row>
    <row r="34" spans="1:2">
      <c r="A34" s="10" t="s">
        <v>923</v>
      </c>
      <c r="B34" s="170" t="s">
        <v>943</v>
      </c>
    </row>
    <row r="35" spans="1:2">
      <c r="A35" s="10" t="s">
        <v>607</v>
      </c>
    </row>
    <row r="36" spans="1:2">
      <c r="A36" s="10" t="s">
        <v>606</v>
      </c>
    </row>
    <row r="37" spans="1:2">
      <c r="A37" s="10" t="s">
        <v>605</v>
      </c>
    </row>
    <row r="38" spans="1:2">
      <c r="A38" s="183" t="s">
        <v>604</v>
      </c>
    </row>
    <row r="39" spans="1:2">
      <c r="A39" s="182"/>
    </row>
    <row r="40" spans="1:2">
      <c r="A40" s="65" t="s">
        <v>924</v>
      </c>
      <c r="B40" s="170" t="s">
        <v>941</v>
      </c>
    </row>
    <row r="41" spans="1:2">
      <c r="A41" s="10" t="s">
        <v>603</v>
      </c>
    </row>
    <row r="42" spans="1:2">
      <c r="A42" s="10" t="s">
        <v>602</v>
      </c>
    </row>
    <row r="43" spans="1:2">
      <c r="A43" s="170" t="s">
        <v>601</v>
      </c>
    </row>
    <row r="44" spans="1:2">
      <c r="A44" s="10" t="s">
        <v>600</v>
      </c>
    </row>
    <row r="46" spans="1:2">
      <c r="A46" s="10" t="s">
        <v>925</v>
      </c>
      <c r="B46" s="10"/>
    </row>
    <row r="47" spans="1:2">
      <c r="A47" t="s">
        <v>599</v>
      </c>
      <c r="B47" s="162" t="s">
        <v>942</v>
      </c>
    </row>
    <row r="48" spans="1:2">
      <c r="A48" t="s">
        <v>598</v>
      </c>
      <c r="B48" s="162" t="s">
        <v>942</v>
      </c>
    </row>
    <row r="50" spans="1:2">
      <c r="A50" s="10" t="s">
        <v>926</v>
      </c>
      <c r="B50" s="170">
        <v>50</v>
      </c>
    </row>
    <row r="51" spans="1:2">
      <c r="A51" s="46" t="s">
        <v>597</v>
      </c>
      <c r="B51" s="162">
        <v>50</v>
      </c>
    </row>
    <row r="52" spans="1:2">
      <c r="A52" s="46" t="s">
        <v>596</v>
      </c>
      <c r="B52" s="162">
        <v>57</v>
      </c>
    </row>
    <row r="53" spans="1:2">
      <c r="A53" s="46" t="s">
        <v>595</v>
      </c>
      <c r="B53" s="162">
        <v>35</v>
      </c>
    </row>
  </sheetData>
  <mergeCells count="2">
    <mergeCell ref="A1:B1"/>
    <mergeCell ref="A2:B2"/>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F9579-B6C4-4637-990A-32C7896A8A72}">
  <sheetPr>
    <tabColor theme="3" tint="0.749992370372631"/>
  </sheetPr>
  <dimension ref="A1:IV29"/>
  <sheetViews>
    <sheetView zoomScale="80" workbookViewId="0">
      <selection activeCell="V11" sqref="V11"/>
    </sheetView>
  </sheetViews>
  <sheetFormatPr defaultColWidth="9" defaultRowHeight="14.4"/>
  <cols>
    <col min="1" max="1" width="1.33203125" style="19" customWidth="1"/>
    <col min="2" max="2" width="18.33203125" style="19" customWidth="1"/>
    <col min="3" max="17" width="6.5546875" style="19" customWidth="1"/>
    <col min="18" max="18" width="15.33203125" style="20" customWidth="1"/>
    <col min="19" max="256" width="9.33203125" style="19" customWidth="1"/>
    <col min="257" max="16384" width="9" style="18"/>
  </cols>
  <sheetData>
    <row r="1" spans="2:21" ht="8.25" customHeight="1"/>
    <row r="2" spans="2:21" ht="18" customHeight="1">
      <c r="B2" s="29" t="s">
        <v>119</v>
      </c>
      <c r="C2" s="28" t="s">
        <v>210</v>
      </c>
      <c r="D2" s="28" t="s">
        <v>209</v>
      </c>
      <c r="E2" s="28" t="s">
        <v>208</v>
      </c>
      <c r="F2" s="28" t="s">
        <v>207</v>
      </c>
      <c r="G2" s="28" t="s">
        <v>206</v>
      </c>
      <c r="H2" s="28" t="s">
        <v>205</v>
      </c>
      <c r="I2" s="28" t="s">
        <v>204</v>
      </c>
      <c r="J2" s="28" t="s">
        <v>203</v>
      </c>
      <c r="K2" s="28" t="s">
        <v>202</v>
      </c>
      <c r="L2" s="28" t="s">
        <v>201</v>
      </c>
      <c r="M2" s="28" t="s">
        <v>200</v>
      </c>
      <c r="N2" s="28" t="s">
        <v>199</v>
      </c>
      <c r="O2" s="28" t="s">
        <v>198</v>
      </c>
      <c r="P2" s="28" t="s">
        <v>197</v>
      </c>
      <c r="Q2" s="28" t="s">
        <v>196</v>
      </c>
    </row>
    <row r="3" spans="2:21">
      <c r="B3" s="27" t="s">
        <v>212</v>
      </c>
      <c r="C3" s="26" t="s">
        <v>168</v>
      </c>
      <c r="D3" s="26" t="s">
        <v>167</v>
      </c>
      <c r="E3" s="26" t="s">
        <v>167</v>
      </c>
      <c r="F3" s="26" t="s">
        <v>169</v>
      </c>
      <c r="G3" s="26" t="s">
        <v>168</v>
      </c>
      <c r="H3" s="26" t="s">
        <v>166</v>
      </c>
      <c r="I3" s="26" t="s">
        <v>166</v>
      </c>
      <c r="J3" s="26" t="s">
        <v>168</v>
      </c>
      <c r="K3" s="26" t="s">
        <v>167</v>
      </c>
      <c r="L3" s="26" t="s">
        <v>166</v>
      </c>
      <c r="M3" s="26" t="s">
        <v>169</v>
      </c>
      <c r="N3" s="26" t="s">
        <v>167</v>
      </c>
      <c r="O3" s="26" t="s">
        <v>168</v>
      </c>
      <c r="P3" s="26" t="s">
        <v>167</v>
      </c>
      <c r="Q3" s="26" t="s">
        <v>166</v>
      </c>
      <c r="S3" s="179"/>
      <c r="T3" s="180"/>
      <c r="U3" s="180"/>
    </row>
    <row r="4" spans="2:21" ht="12" customHeight="1"/>
    <row r="5" spans="2:21" ht="18.75" customHeight="1">
      <c r="B5" s="25" t="s">
        <v>211</v>
      </c>
      <c r="C5" s="24" t="s">
        <v>210</v>
      </c>
      <c r="D5" s="24" t="s">
        <v>209</v>
      </c>
      <c r="E5" s="24" t="s">
        <v>208</v>
      </c>
      <c r="F5" s="24" t="s">
        <v>207</v>
      </c>
      <c r="G5" s="24" t="s">
        <v>206</v>
      </c>
      <c r="H5" s="24" t="s">
        <v>205</v>
      </c>
      <c r="I5" s="24" t="s">
        <v>204</v>
      </c>
      <c r="J5" s="24" t="s">
        <v>203</v>
      </c>
      <c r="K5" s="24" t="s">
        <v>202</v>
      </c>
      <c r="L5" s="24" t="s">
        <v>201</v>
      </c>
      <c r="M5" s="24" t="s">
        <v>200</v>
      </c>
      <c r="N5" s="24" t="s">
        <v>199</v>
      </c>
      <c r="O5" s="24" t="s">
        <v>198</v>
      </c>
      <c r="P5" s="24" t="s">
        <v>197</v>
      </c>
      <c r="Q5" s="24" t="s">
        <v>196</v>
      </c>
      <c r="R5" s="23" t="s">
        <v>195</v>
      </c>
    </row>
    <row r="6" spans="2:21">
      <c r="B6" s="22" t="s">
        <v>194</v>
      </c>
      <c r="C6" s="21" t="s">
        <v>168</v>
      </c>
      <c r="D6" s="21" t="s">
        <v>167</v>
      </c>
      <c r="E6" s="21" t="s">
        <v>167</v>
      </c>
      <c r="F6" s="21" t="s">
        <v>169</v>
      </c>
      <c r="G6" s="21" t="s">
        <v>168</v>
      </c>
      <c r="H6" s="21" t="s">
        <v>166</v>
      </c>
      <c r="I6" s="21" t="s">
        <v>166</v>
      </c>
      <c r="J6" s="21" t="s">
        <v>168</v>
      </c>
      <c r="K6" s="21" t="s">
        <v>167</v>
      </c>
      <c r="L6" s="21" t="s">
        <v>166</v>
      </c>
      <c r="M6" s="21" t="s">
        <v>169</v>
      </c>
      <c r="N6" s="21" t="s">
        <v>167</v>
      </c>
      <c r="O6" s="21" t="s">
        <v>168</v>
      </c>
      <c r="P6" s="21" t="s">
        <v>167</v>
      </c>
      <c r="Q6" s="21" t="s">
        <v>166</v>
      </c>
      <c r="R6" s="218" cm="1">
        <f t="array" ref="R6">SUM(IF(C6:Q6=C$3:Q$3,1,0))</f>
        <v>15</v>
      </c>
    </row>
    <row r="7" spans="2:21">
      <c r="B7" s="22" t="s">
        <v>193</v>
      </c>
      <c r="C7" s="21" t="s">
        <v>168</v>
      </c>
      <c r="D7" s="21" t="s">
        <v>167</v>
      </c>
      <c r="E7" s="21" t="s">
        <v>167</v>
      </c>
      <c r="F7" s="21" t="s">
        <v>169</v>
      </c>
      <c r="G7" s="21" t="s">
        <v>169</v>
      </c>
      <c r="H7" s="21" t="s">
        <v>166</v>
      </c>
      <c r="I7" s="21" t="s">
        <v>166</v>
      </c>
      <c r="J7" s="21" t="s">
        <v>166</v>
      </c>
      <c r="K7" s="21" t="s">
        <v>167</v>
      </c>
      <c r="L7" s="21" t="s">
        <v>168</v>
      </c>
      <c r="M7" s="21" t="s">
        <v>169</v>
      </c>
      <c r="N7" s="21" t="s">
        <v>167</v>
      </c>
      <c r="O7" s="21" t="s">
        <v>168</v>
      </c>
      <c r="P7" s="21" t="s">
        <v>167</v>
      </c>
      <c r="Q7" s="21" t="s">
        <v>166</v>
      </c>
      <c r="R7" s="218" cm="1">
        <f t="array" ref="R7">SUM(IF(C7:Q7=C$3:Q$3,1,0))</f>
        <v>12</v>
      </c>
    </row>
    <row r="8" spans="2:21">
      <c r="B8" s="22" t="s">
        <v>192</v>
      </c>
      <c r="C8" s="21" t="s">
        <v>168</v>
      </c>
      <c r="D8" s="21" t="s">
        <v>167</v>
      </c>
      <c r="E8" s="21" t="s">
        <v>167</v>
      </c>
      <c r="F8" s="21" t="s">
        <v>169</v>
      </c>
      <c r="G8" s="21" t="s">
        <v>168</v>
      </c>
      <c r="H8" s="21" t="s">
        <v>166</v>
      </c>
      <c r="I8" s="21" t="s">
        <v>166</v>
      </c>
      <c r="J8" s="21" t="s">
        <v>168</v>
      </c>
      <c r="K8" s="21" t="s">
        <v>167</v>
      </c>
      <c r="L8" s="21" t="s">
        <v>166</v>
      </c>
      <c r="M8" s="21" t="s">
        <v>169</v>
      </c>
      <c r="N8" s="21" t="s">
        <v>167</v>
      </c>
      <c r="O8" s="21" t="s">
        <v>168</v>
      </c>
      <c r="P8" s="21" t="s">
        <v>167</v>
      </c>
      <c r="Q8" s="21" t="s">
        <v>166</v>
      </c>
      <c r="R8" s="218" cm="1">
        <f t="array" ref="R8">SUM(IF(C8:Q8=C$3:Q$3,1,0))</f>
        <v>15</v>
      </c>
    </row>
    <row r="9" spans="2:21">
      <c r="B9" s="22" t="s">
        <v>191</v>
      </c>
      <c r="C9" s="21" t="s">
        <v>167</v>
      </c>
      <c r="D9" s="21" t="s">
        <v>167</v>
      </c>
      <c r="E9" s="21" t="s">
        <v>167</v>
      </c>
      <c r="F9" s="21" t="s">
        <v>169</v>
      </c>
      <c r="G9" s="21" t="s">
        <v>168</v>
      </c>
      <c r="H9" s="21" t="s">
        <v>166</v>
      </c>
      <c r="I9" s="21" t="s">
        <v>166</v>
      </c>
      <c r="J9" s="21" t="s">
        <v>166</v>
      </c>
      <c r="K9" s="21" t="s">
        <v>167</v>
      </c>
      <c r="L9" s="21" t="s">
        <v>166</v>
      </c>
      <c r="M9" s="21" t="s">
        <v>169</v>
      </c>
      <c r="N9" s="21" t="s">
        <v>167</v>
      </c>
      <c r="O9" s="21" t="s">
        <v>168</v>
      </c>
      <c r="P9" s="21" t="s">
        <v>167</v>
      </c>
      <c r="Q9" s="21" t="s">
        <v>166</v>
      </c>
      <c r="R9" s="218" cm="1">
        <f t="array" ref="R9">SUM(IF(C9:Q9=C$3:Q$3,1,0))</f>
        <v>13</v>
      </c>
    </row>
    <row r="10" spans="2:21">
      <c r="B10" s="22" t="s">
        <v>190</v>
      </c>
      <c r="C10" s="21" t="s">
        <v>167</v>
      </c>
      <c r="D10" s="21" t="s">
        <v>167</v>
      </c>
      <c r="E10" s="21" t="s">
        <v>167</v>
      </c>
      <c r="F10" s="21" t="s">
        <v>167</v>
      </c>
      <c r="G10" s="21" t="s">
        <v>168</v>
      </c>
      <c r="H10" s="21" t="s">
        <v>167</v>
      </c>
      <c r="I10" s="21" t="s">
        <v>166</v>
      </c>
      <c r="J10" s="21" t="s">
        <v>168</v>
      </c>
      <c r="K10" s="21" t="s">
        <v>169</v>
      </c>
      <c r="L10" s="21" t="s">
        <v>166</v>
      </c>
      <c r="M10" s="21" t="s">
        <v>169</v>
      </c>
      <c r="N10" s="21" t="s">
        <v>167</v>
      </c>
      <c r="O10" s="21" t="s">
        <v>168</v>
      </c>
      <c r="P10" s="21" t="s">
        <v>167</v>
      </c>
      <c r="Q10" s="21" t="s">
        <v>166</v>
      </c>
      <c r="R10" s="218" cm="1">
        <f t="array" ref="R10">SUM(IF(C10:Q10=C$3:Q$3,1,0))</f>
        <v>11</v>
      </c>
    </row>
    <row r="11" spans="2:21">
      <c r="B11" s="22" t="s">
        <v>189</v>
      </c>
      <c r="C11" s="21" t="s">
        <v>168</v>
      </c>
      <c r="D11" s="21" t="s">
        <v>167</v>
      </c>
      <c r="E11" s="21" t="s">
        <v>167</v>
      </c>
      <c r="F11" s="21" t="s">
        <v>169</v>
      </c>
      <c r="G11" s="21" t="s">
        <v>168</v>
      </c>
      <c r="H11" s="21" t="s">
        <v>166</v>
      </c>
      <c r="I11" s="21" t="s">
        <v>166</v>
      </c>
      <c r="J11" s="21" t="s">
        <v>168</v>
      </c>
      <c r="K11" s="21" t="s">
        <v>167</v>
      </c>
      <c r="L11" s="21" t="s">
        <v>166</v>
      </c>
      <c r="M11" s="21" t="s">
        <v>169</v>
      </c>
      <c r="N11" s="21" t="s">
        <v>167</v>
      </c>
      <c r="O11" s="21" t="s">
        <v>168</v>
      </c>
      <c r="P11" s="21" t="s">
        <v>167</v>
      </c>
      <c r="Q11" s="21" t="s">
        <v>166</v>
      </c>
      <c r="R11" s="218" cm="1">
        <f t="array" ref="R11">SUM(IF(C11:Q11=C$3:Q$3,1,0))</f>
        <v>15</v>
      </c>
    </row>
    <row r="12" spans="2:21">
      <c r="B12" s="22" t="s">
        <v>188</v>
      </c>
      <c r="C12" s="21" t="s">
        <v>168</v>
      </c>
      <c r="D12" s="21" t="s">
        <v>166</v>
      </c>
      <c r="E12" s="21" t="s">
        <v>168</v>
      </c>
      <c r="F12" s="21" t="s">
        <v>169</v>
      </c>
      <c r="G12" s="21" t="s">
        <v>168</v>
      </c>
      <c r="H12" s="21" t="s">
        <v>166</v>
      </c>
      <c r="I12" s="21" t="s">
        <v>167</v>
      </c>
      <c r="J12" s="21" t="s">
        <v>169</v>
      </c>
      <c r="K12" s="21" t="s">
        <v>166</v>
      </c>
      <c r="L12" s="21" t="s">
        <v>168</v>
      </c>
      <c r="M12" s="21" t="s">
        <v>167</v>
      </c>
      <c r="N12" s="21" t="s">
        <v>167</v>
      </c>
      <c r="O12" s="21" t="s">
        <v>168</v>
      </c>
      <c r="P12" s="21" t="s">
        <v>167</v>
      </c>
      <c r="Q12" s="21" t="s">
        <v>166</v>
      </c>
      <c r="R12" s="218" cm="1">
        <f t="array" ref="R12">SUM(IF(C12:Q12=C$3:Q$3,1,0))</f>
        <v>8</v>
      </c>
    </row>
    <row r="13" spans="2:21">
      <c r="B13" s="22" t="s">
        <v>187</v>
      </c>
      <c r="C13" s="21" t="s">
        <v>167</v>
      </c>
      <c r="D13" s="21" t="s">
        <v>169</v>
      </c>
      <c r="E13" s="21" t="s">
        <v>167</v>
      </c>
      <c r="F13" s="21" t="s">
        <v>169</v>
      </c>
      <c r="G13" s="21" t="s">
        <v>168</v>
      </c>
      <c r="H13" s="21" t="s">
        <v>166</v>
      </c>
      <c r="I13" s="21" t="s">
        <v>166</v>
      </c>
      <c r="J13" s="21" t="s">
        <v>168</v>
      </c>
      <c r="K13" s="21" t="s">
        <v>167</v>
      </c>
      <c r="L13" s="21" t="s">
        <v>166</v>
      </c>
      <c r="M13" s="21" t="s">
        <v>169</v>
      </c>
      <c r="N13" s="21" t="s">
        <v>167</v>
      </c>
      <c r="O13" s="21" t="s">
        <v>168</v>
      </c>
      <c r="P13" s="21" t="s">
        <v>167</v>
      </c>
      <c r="Q13" s="21" t="s">
        <v>166</v>
      </c>
      <c r="R13" s="218" cm="1">
        <f t="array" ref="R13">SUM(IF(C13:Q13=C$3:Q$3,1,0))</f>
        <v>13</v>
      </c>
    </row>
    <row r="14" spans="2:21">
      <c r="B14" s="22" t="s">
        <v>186</v>
      </c>
      <c r="C14" s="21" t="s">
        <v>168</v>
      </c>
      <c r="D14" s="21" t="s">
        <v>167</v>
      </c>
      <c r="E14" s="21" t="s">
        <v>168</v>
      </c>
      <c r="F14" s="21" t="s">
        <v>167</v>
      </c>
      <c r="G14" s="21" t="s">
        <v>169</v>
      </c>
      <c r="H14" s="21" t="s">
        <v>166</v>
      </c>
      <c r="I14" s="21" t="s">
        <v>166</v>
      </c>
      <c r="J14" s="21" t="s">
        <v>168</v>
      </c>
      <c r="K14" s="21" t="s">
        <v>167</v>
      </c>
      <c r="L14" s="21" t="s">
        <v>166</v>
      </c>
      <c r="M14" s="21" t="s">
        <v>169</v>
      </c>
      <c r="N14" s="21" t="s">
        <v>167</v>
      </c>
      <c r="O14" s="21" t="s">
        <v>168</v>
      </c>
      <c r="P14" s="21" t="s">
        <v>167</v>
      </c>
      <c r="Q14" s="21" t="s">
        <v>166</v>
      </c>
      <c r="R14" s="218" cm="1">
        <f t="array" ref="R14">SUM(IF(C14:Q14=C$3:Q$3,1,0))</f>
        <v>12</v>
      </c>
    </row>
    <row r="15" spans="2:21">
      <c r="B15" s="22" t="s">
        <v>185</v>
      </c>
      <c r="C15" s="21" t="s">
        <v>167</v>
      </c>
      <c r="D15" s="21" t="s">
        <v>166</v>
      </c>
      <c r="E15" s="21" t="s">
        <v>167</v>
      </c>
      <c r="F15" s="21" t="s">
        <v>169</v>
      </c>
      <c r="G15" s="21" t="s">
        <v>168</v>
      </c>
      <c r="H15" s="21" t="s">
        <v>166</v>
      </c>
      <c r="I15" s="21" t="s">
        <v>166</v>
      </c>
      <c r="J15" s="21" t="s">
        <v>168</v>
      </c>
      <c r="K15" s="21" t="s">
        <v>167</v>
      </c>
      <c r="L15" s="21" t="s">
        <v>166</v>
      </c>
      <c r="M15" s="21" t="s">
        <v>169</v>
      </c>
      <c r="N15" s="21" t="s">
        <v>167</v>
      </c>
      <c r="O15" s="21" t="s">
        <v>168</v>
      </c>
      <c r="P15" s="21" t="s">
        <v>167</v>
      </c>
      <c r="Q15" s="21" t="s">
        <v>166</v>
      </c>
      <c r="R15" s="218" cm="1">
        <f t="array" ref="R15">SUM(IF(C15:Q15=C$3:Q$3,1,0))</f>
        <v>13</v>
      </c>
    </row>
    <row r="16" spans="2:21">
      <c r="B16" s="22" t="s">
        <v>184</v>
      </c>
      <c r="C16" s="21" t="s">
        <v>168</v>
      </c>
      <c r="D16" s="21" t="s">
        <v>166</v>
      </c>
      <c r="E16" s="21" t="s">
        <v>167</v>
      </c>
      <c r="F16" s="21" t="s">
        <v>169</v>
      </c>
      <c r="G16" s="21" t="s">
        <v>168</v>
      </c>
      <c r="H16" s="21" t="s">
        <v>166</v>
      </c>
      <c r="I16" s="21" t="s">
        <v>166</v>
      </c>
      <c r="J16" s="21" t="s">
        <v>168</v>
      </c>
      <c r="K16" s="21" t="s">
        <v>167</v>
      </c>
      <c r="L16" s="21" t="s">
        <v>166</v>
      </c>
      <c r="M16" s="21" t="s">
        <v>169</v>
      </c>
      <c r="N16" s="21" t="s">
        <v>167</v>
      </c>
      <c r="O16" s="21" t="s">
        <v>168</v>
      </c>
      <c r="P16" s="21" t="s">
        <v>167</v>
      </c>
      <c r="Q16" s="21" t="s">
        <v>166</v>
      </c>
      <c r="R16" s="218" cm="1">
        <f t="array" ref="R16">SUM(IF(C16:Q16=C$3:Q$3,1,0))</f>
        <v>14</v>
      </c>
    </row>
    <row r="17" spans="2:18">
      <c r="B17" s="22" t="s">
        <v>183</v>
      </c>
      <c r="C17" s="21" t="s">
        <v>168</v>
      </c>
      <c r="D17" s="21" t="s">
        <v>167</v>
      </c>
      <c r="E17" s="21" t="s">
        <v>167</v>
      </c>
      <c r="F17" s="21" t="s">
        <v>169</v>
      </c>
      <c r="G17" s="21" t="s">
        <v>168</v>
      </c>
      <c r="H17" s="21" t="s">
        <v>166</v>
      </c>
      <c r="I17" s="21" t="s">
        <v>166</v>
      </c>
      <c r="J17" s="21" t="s">
        <v>168</v>
      </c>
      <c r="K17" s="21" t="s">
        <v>167</v>
      </c>
      <c r="L17" s="21" t="s">
        <v>166</v>
      </c>
      <c r="M17" s="21" t="s">
        <v>169</v>
      </c>
      <c r="N17" s="21" t="s">
        <v>167</v>
      </c>
      <c r="O17" s="21" t="s">
        <v>168</v>
      </c>
      <c r="P17" s="21" t="s">
        <v>167</v>
      </c>
      <c r="Q17" s="21" t="s">
        <v>166</v>
      </c>
      <c r="R17" s="218" cm="1">
        <f t="array" ref="R17">SUM(IF(C17:Q17=C$3:Q$3,1,0))</f>
        <v>15</v>
      </c>
    </row>
    <row r="18" spans="2:18">
      <c r="B18" s="22" t="s">
        <v>182</v>
      </c>
      <c r="C18" s="21" t="s">
        <v>168</v>
      </c>
      <c r="D18" s="21" t="s">
        <v>167</v>
      </c>
      <c r="E18" s="21" t="s">
        <v>168</v>
      </c>
      <c r="F18" s="21" t="s">
        <v>169</v>
      </c>
      <c r="G18" s="21" t="s">
        <v>168</v>
      </c>
      <c r="H18" s="21" t="s">
        <v>166</v>
      </c>
      <c r="I18" s="21" t="s">
        <v>166</v>
      </c>
      <c r="J18" s="21" t="s">
        <v>168</v>
      </c>
      <c r="K18" s="21" t="s">
        <v>167</v>
      </c>
      <c r="L18" s="21" t="s">
        <v>166</v>
      </c>
      <c r="M18" s="21" t="s">
        <v>169</v>
      </c>
      <c r="N18" s="21" t="s">
        <v>167</v>
      </c>
      <c r="O18" s="21" t="s">
        <v>168</v>
      </c>
      <c r="P18" s="21" t="s">
        <v>167</v>
      </c>
      <c r="Q18" s="21" t="s">
        <v>166</v>
      </c>
      <c r="R18" s="218" cm="1">
        <f t="array" ref="R18">SUM(IF(C18:Q18=C$3:Q$3,1,0))</f>
        <v>14</v>
      </c>
    </row>
    <row r="19" spans="2:18">
      <c r="B19" s="22" t="s">
        <v>181</v>
      </c>
      <c r="C19" s="21" t="s">
        <v>168</v>
      </c>
      <c r="D19" s="21" t="s">
        <v>167</v>
      </c>
      <c r="E19" s="21" t="s">
        <v>167</v>
      </c>
      <c r="F19" s="21" t="s">
        <v>169</v>
      </c>
      <c r="G19" s="21" t="s">
        <v>166</v>
      </c>
      <c r="H19" s="21" t="s">
        <v>166</v>
      </c>
      <c r="I19" s="21" t="s">
        <v>166</v>
      </c>
      <c r="J19" s="21" t="s">
        <v>168</v>
      </c>
      <c r="K19" s="21" t="s">
        <v>167</v>
      </c>
      <c r="L19" s="21" t="s">
        <v>166</v>
      </c>
      <c r="M19" s="21" t="s">
        <v>169</v>
      </c>
      <c r="N19" s="21" t="s">
        <v>167</v>
      </c>
      <c r="O19" s="21" t="s">
        <v>168</v>
      </c>
      <c r="P19" s="21" t="s">
        <v>167</v>
      </c>
      <c r="Q19" s="21" t="s">
        <v>166</v>
      </c>
      <c r="R19" s="218" cm="1">
        <f t="array" ref="R19">SUM(IF(C19:Q19=C$3:Q$3,1,0))</f>
        <v>14</v>
      </c>
    </row>
    <row r="20" spans="2:18">
      <c r="B20" s="22" t="s">
        <v>180</v>
      </c>
      <c r="C20" s="21" t="s">
        <v>168</v>
      </c>
      <c r="D20" s="21" t="s">
        <v>167</v>
      </c>
      <c r="E20" s="21" t="s">
        <v>167</v>
      </c>
      <c r="F20" s="21" t="s">
        <v>169</v>
      </c>
      <c r="G20" s="21" t="s">
        <v>168</v>
      </c>
      <c r="H20" s="21" t="s">
        <v>166</v>
      </c>
      <c r="I20" s="21" t="s">
        <v>166</v>
      </c>
      <c r="J20" s="21" t="s">
        <v>168</v>
      </c>
      <c r="K20" s="21" t="s">
        <v>167</v>
      </c>
      <c r="L20" s="21" t="s">
        <v>166</v>
      </c>
      <c r="M20" s="21" t="s">
        <v>169</v>
      </c>
      <c r="N20" s="21" t="s">
        <v>167</v>
      </c>
      <c r="O20" s="21" t="s">
        <v>168</v>
      </c>
      <c r="P20" s="21" t="s">
        <v>167</v>
      </c>
      <c r="Q20" s="21" t="s">
        <v>166</v>
      </c>
      <c r="R20" s="218" cm="1">
        <f t="array" ref="R20">SUM(IF(C20:Q20=C$3:Q$3,1,0))</f>
        <v>15</v>
      </c>
    </row>
    <row r="21" spans="2:18">
      <c r="B21" s="22" t="s">
        <v>179</v>
      </c>
      <c r="C21" s="21" t="s">
        <v>168</v>
      </c>
      <c r="D21" s="21" t="s">
        <v>167</v>
      </c>
      <c r="E21" s="21" t="s">
        <v>167</v>
      </c>
      <c r="F21" s="21" t="s">
        <v>167</v>
      </c>
      <c r="G21" s="21" t="s">
        <v>168</v>
      </c>
      <c r="H21" s="21" t="s">
        <v>166</v>
      </c>
      <c r="I21" s="21" t="s">
        <v>166</v>
      </c>
      <c r="J21" s="21" t="s">
        <v>167</v>
      </c>
      <c r="K21" s="21" t="s">
        <v>167</v>
      </c>
      <c r="L21" s="21" t="s">
        <v>168</v>
      </c>
      <c r="M21" s="21" t="s">
        <v>169</v>
      </c>
      <c r="N21" s="21" t="s">
        <v>167</v>
      </c>
      <c r="O21" s="21" t="s">
        <v>168</v>
      </c>
      <c r="P21" s="21" t="s">
        <v>167</v>
      </c>
      <c r="Q21" s="21" t="s">
        <v>166</v>
      </c>
      <c r="R21" s="218" cm="1">
        <f t="array" ref="R21">SUM(IF(C21:Q21=C$3:Q$3,1,0))</f>
        <v>12</v>
      </c>
    </row>
    <row r="22" spans="2:18">
      <c r="B22" s="22" t="s">
        <v>178</v>
      </c>
      <c r="C22" s="21" t="s">
        <v>168</v>
      </c>
      <c r="D22" s="21" t="s">
        <v>167</v>
      </c>
      <c r="E22" s="21" t="s">
        <v>169</v>
      </c>
      <c r="F22" s="21" t="s">
        <v>169</v>
      </c>
      <c r="G22" s="21" t="s">
        <v>169</v>
      </c>
      <c r="H22" s="21" t="s">
        <v>166</v>
      </c>
      <c r="I22" s="21" t="s">
        <v>166</v>
      </c>
      <c r="J22" s="21" t="s">
        <v>168</v>
      </c>
      <c r="K22" s="21" t="s">
        <v>167</v>
      </c>
      <c r="L22" s="21" t="s">
        <v>166</v>
      </c>
      <c r="M22" s="21" t="s">
        <v>169</v>
      </c>
      <c r="N22" s="21" t="s">
        <v>167</v>
      </c>
      <c r="O22" s="21" t="s">
        <v>168</v>
      </c>
      <c r="P22" s="21" t="s">
        <v>167</v>
      </c>
      <c r="Q22" s="21" t="s">
        <v>166</v>
      </c>
      <c r="R22" s="218" cm="1">
        <f t="array" ref="R22">SUM(IF(C22:Q22=C$3:Q$3,1,0))</f>
        <v>13</v>
      </c>
    </row>
    <row r="23" spans="2:18">
      <c r="B23" s="22" t="s">
        <v>177</v>
      </c>
      <c r="C23" s="21" t="s">
        <v>168</v>
      </c>
      <c r="D23" s="21" t="s">
        <v>167</v>
      </c>
      <c r="E23" s="21" t="s">
        <v>166</v>
      </c>
      <c r="F23" s="21" t="s">
        <v>167</v>
      </c>
      <c r="G23" s="21" t="s">
        <v>169</v>
      </c>
      <c r="H23" s="21" t="s">
        <v>168</v>
      </c>
      <c r="I23" s="21" t="s">
        <v>166</v>
      </c>
      <c r="J23" s="21" t="s">
        <v>168</v>
      </c>
      <c r="K23" s="21" t="s">
        <v>167</v>
      </c>
      <c r="L23" s="21" t="s">
        <v>169</v>
      </c>
      <c r="M23" s="21" t="s">
        <v>169</v>
      </c>
      <c r="N23" s="21" t="s">
        <v>169</v>
      </c>
      <c r="O23" s="21" t="s">
        <v>166</v>
      </c>
      <c r="P23" s="21" t="s">
        <v>168</v>
      </c>
      <c r="Q23" s="21" t="s">
        <v>167</v>
      </c>
      <c r="R23" s="218" cm="1">
        <f t="array" ref="R23">SUM(IF(C23:Q23=C$3:Q$3,1,0))</f>
        <v>6</v>
      </c>
    </row>
    <row r="24" spans="2:18">
      <c r="B24" s="22" t="s">
        <v>176</v>
      </c>
      <c r="C24" s="21" t="s">
        <v>169</v>
      </c>
      <c r="D24" s="21" t="s">
        <v>167</v>
      </c>
      <c r="E24" s="21" t="s">
        <v>167</v>
      </c>
      <c r="F24" s="21" t="s">
        <v>169</v>
      </c>
      <c r="G24" s="21" t="s">
        <v>168</v>
      </c>
      <c r="H24" s="21" t="s">
        <v>166</v>
      </c>
      <c r="I24" s="21" t="s">
        <v>166</v>
      </c>
      <c r="J24" s="21" t="s">
        <v>168</v>
      </c>
      <c r="K24" s="21" t="s">
        <v>167</v>
      </c>
      <c r="L24" s="21" t="s">
        <v>166</v>
      </c>
      <c r="M24" s="21" t="s">
        <v>169</v>
      </c>
      <c r="N24" s="21" t="s">
        <v>167</v>
      </c>
      <c r="O24" s="21" t="s">
        <v>168</v>
      </c>
      <c r="P24" s="21" t="s">
        <v>167</v>
      </c>
      <c r="Q24" s="21" t="s">
        <v>168</v>
      </c>
      <c r="R24" s="218" cm="1">
        <f t="array" ref="R24">SUM(IF(C24:Q24=C$3:Q$3,1,0))</f>
        <v>13</v>
      </c>
    </row>
    <row r="25" spans="2:18">
      <c r="B25" s="22" t="s">
        <v>175</v>
      </c>
      <c r="C25" s="21" t="s">
        <v>168</v>
      </c>
      <c r="D25" s="21" t="s">
        <v>167</v>
      </c>
      <c r="E25" s="21" t="s">
        <v>167</v>
      </c>
      <c r="F25" s="21" t="s">
        <v>167</v>
      </c>
      <c r="G25" s="21" t="s">
        <v>168</v>
      </c>
      <c r="H25" s="21" t="s">
        <v>166</v>
      </c>
      <c r="I25" s="21" t="s">
        <v>166</v>
      </c>
      <c r="J25" s="21" t="s">
        <v>168</v>
      </c>
      <c r="K25" s="21" t="s">
        <v>167</v>
      </c>
      <c r="L25" s="21" t="s">
        <v>166</v>
      </c>
      <c r="M25" s="21" t="s">
        <v>169</v>
      </c>
      <c r="N25" s="21" t="s">
        <v>166</v>
      </c>
      <c r="O25" s="21" t="s">
        <v>169</v>
      </c>
      <c r="P25" s="21" t="s">
        <v>167</v>
      </c>
      <c r="Q25" s="21" t="s">
        <v>166</v>
      </c>
      <c r="R25" s="218" cm="1">
        <f t="array" ref="R25">SUM(IF(C25:Q25=C$3:Q$3,1,0))</f>
        <v>12</v>
      </c>
    </row>
    <row r="26" spans="2:18">
      <c r="B26" s="22" t="s">
        <v>174</v>
      </c>
      <c r="C26" s="21" t="s">
        <v>167</v>
      </c>
      <c r="D26" s="21" t="s">
        <v>167</v>
      </c>
      <c r="E26" s="21" t="s">
        <v>169</v>
      </c>
      <c r="F26" s="21" t="s">
        <v>166</v>
      </c>
      <c r="G26" s="21" t="s">
        <v>168</v>
      </c>
      <c r="H26" s="21" t="s">
        <v>167</v>
      </c>
      <c r="I26" s="21" t="s">
        <v>169</v>
      </c>
      <c r="J26" s="21" t="s">
        <v>168</v>
      </c>
      <c r="K26" s="21" t="s">
        <v>167</v>
      </c>
      <c r="L26" s="21" t="s">
        <v>166</v>
      </c>
      <c r="M26" s="21" t="s">
        <v>169</v>
      </c>
      <c r="N26" s="21" t="s">
        <v>167</v>
      </c>
      <c r="O26" s="21" t="s">
        <v>168</v>
      </c>
      <c r="P26" s="21" t="s">
        <v>167</v>
      </c>
      <c r="Q26" s="21" t="s">
        <v>166</v>
      </c>
      <c r="R26" s="218" cm="1">
        <f t="array" ref="R26">SUM(IF(C26:Q26=C$3:Q$3,1,0))</f>
        <v>10</v>
      </c>
    </row>
    <row r="27" spans="2:18">
      <c r="B27" s="22" t="s">
        <v>173</v>
      </c>
      <c r="C27" s="21" t="s">
        <v>168</v>
      </c>
      <c r="D27" s="21" t="s">
        <v>167</v>
      </c>
      <c r="E27" s="21" t="s">
        <v>167</v>
      </c>
      <c r="F27" s="21" t="s">
        <v>169</v>
      </c>
      <c r="G27" s="21" t="s">
        <v>168</v>
      </c>
      <c r="H27" s="21" t="s">
        <v>166</v>
      </c>
      <c r="I27" s="21" t="s">
        <v>166</v>
      </c>
      <c r="J27" s="21" t="s">
        <v>168</v>
      </c>
      <c r="K27" s="21" t="s">
        <v>167</v>
      </c>
      <c r="L27" s="21" t="s">
        <v>166</v>
      </c>
      <c r="M27" s="21" t="s">
        <v>169</v>
      </c>
      <c r="N27" s="21" t="s">
        <v>167</v>
      </c>
      <c r="O27" s="21" t="s">
        <v>168</v>
      </c>
      <c r="P27" s="21" t="s">
        <v>167</v>
      </c>
      <c r="Q27" s="21" t="s">
        <v>166</v>
      </c>
      <c r="R27" s="218" cm="1">
        <f t="array" ref="R27">SUM(IF(C27:Q27=C$3:Q$3,1,0))</f>
        <v>15</v>
      </c>
    </row>
    <row r="28" spans="2:18">
      <c r="B28" s="22" t="s">
        <v>172</v>
      </c>
      <c r="C28" s="21" t="s">
        <v>168</v>
      </c>
      <c r="D28" s="21" t="s">
        <v>167</v>
      </c>
      <c r="E28" s="21" t="s">
        <v>167</v>
      </c>
      <c r="F28" s="21" t="s">
        <v>169</v>
      </c>
      <c r="G28" s="21" t="s">
        <v>169</v>
      </c>
      <c r="H28" s="21" t="s">
        <v>166</v>
      </c>
      <c r="I28" s="21" t="s">
        <v>166</v>
      </c>
      <c r="J28" s="21" t="s">
        <v>168</v>
      </c>
      <c r="K28" s="21" t="s">
        <v>171</v>
      </c>
      <c r="L28" s="21" t="s">
        <v>166</v>
      </c>
      <c r="M28" s="21" t="s">
        <v>169</v>
      </c>
      <c r="N28" s="21" t="s">
        <v>167</v>
      </c>
      <c r="O28" s="21" t="s">
        <v>168</v>
      </c>
      <c r="P28" s="21" t="s">
        <v>167</v>
      </c>
      <c r="Q28" s="21" t="s">
        <v>166</v>
      </c>
      <c r="R28" s="218" cm="1">
        <f t="array" ref="R28">SUM(IF(C28:Q28=C$3:Q$3,1,0))</f>
        <v>13</v>
      </c>
    </row>
    <row r="29" spans="2:18">
      <c r="B29" s="22" t="s">
        <v>170</v>
      </c>
      <c r="C29" s="21" t="s">
        <v>168</v>
      </c>
      <c r="D29" s="21" t="s">
        <v>167</v>
      </c>
      <c r="E29" s="21" t="s">
        <v>167</v>
      </c>
      <c r="F29" s="21" t="s">
        <v>169</v>
      </c>
      <c r="G29" s="21" t="s">
        <v>168</v>
      </c>
      <c r="H29" s="21" t="s">
        <v>166</v>
      </c>
      <c r="I29" s="21" t="s">
        <v>166</v>
      </c>
      <c r="J29" s="21" t="s">
        <v>168</v>
      </c>
      <c r="K29" s="21" t="s">
        <v>167</v>
      </c>
      <c r="L29" s="21" t="s">
        <v>166</v>
      </c>
      <c r="M29" s="21" t="s">
        <v>169</v>
      </c>
      <c r="N29" s="21" t="s">
        <v>167</v>
      </c>
      <c r="O29" s="21" t="s">
        <v>168</v>
      </c>
      <c r="P29" s="21" t="s">
        <v>167</v>
      </c>
      <c r="Q29" s="21" t="s">
        <v>166</v>
      </c>
      <c r="R29" s="218" cm="1">
        <f t="array" ref="R29">SUM(IF(C29:Q29=C$3:Q$3,1,0))</f>
        <v>15</v>
      </c>
    </row>
  </sheetData>
  <mergeCells count="1">
    <mergeCell ref="S3:U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83378-8273-4B75-BAB0-A63380565D25}">
  <sheetPr>
    <tabColor theme="3" tint="0.749992370372631"/>
  </sheetPr>
  <dimension ref="A1:AD77"/>
  <sheetViews>
    <sheetView zoomScale="84" zoomScaleNormal="100" workbookViewId="0">
      <selection activeCell="S8" sqref="S8"/>
    </sheetView>
  </sheetViews>
  <sheetFormatPr defaultRowHeight="14.4"/>
  <cols>
    <col min="1" max="1" width="13.5546875" customWidth="1"/>
    <col min="2" max="2" width="18.6640625" bestFit="1" customWidth="1"/>
    <col min="3" max="3" width="20.109375" bestFit="1" customWidth="1"/>
    <col min="4" max="4" width="19.88671875" customWidth="1"/>
    <col min="5" max="5" width="32" bestFit="1" customWidth="1"/>
    <col min="6" max="6" width="17.33203125" bestFit="1" customWidth="1"/>
    <col min="7" max="7" width="20.6640625" bestFit="1" customWidth="1"/>
    <col min="8" max="8" width="10.5546875" customWidth="1"/>
    <col min="9" max="9" width="13.109375" customWidth="1"/>
    <col min="10" max="10" width="18.21875" customWidth="1"/>
    <col min="11" max="11" width="32.44140625" bestFit="1" customWidth="1"/>
    <col min="13" max="13" width="9.88671875" bestFit="1" customWidth="1"/>
    <col min="14" max="14" width="15.109375" bestFit="1" customWidth="1"/>
    <col min="15" max="15" width="9.6640625" bestFit="1" customWidth="1"/>
    <col min="16" max="16" width="15.77734375" bestFit="1" customWidth="1"/>
    <col min="17" max="17" width="15.33203125" bestFit="1" customWidth="1"/>
    <col min="18" max="18" width="11" bestFit="1" customWidth="1"/>
    <col min="20" max="20" width="17.44140625" bestFit="1" customWidth="1"/>
    <col min="21" max="21" width="15.88671875" bestFit="1" customWidth="1"/>
    <col min="22" max="22" width="16.88671875" bestFit="1" customWidth="1"/>
    <col min="23" max="23" width="11.109375" bestFit="1" customWidth="1"/>
    <col min="24" max="24" width="12.33203125" bestFit="1" customWidth="1"/>
    <col min="25" max="25" width="9.77734375" bestFit="1" customWidth="1"/>
    <col min="27" max="27" width="9.33203125" bestFit="1" customWidth="1"/>
    <col min="28" max="28" width="12" bestFit="1" customWidth="1"/>
    <col min="30" max="30" width="18.44140625" bestFit="1" customWidth="1"/>
  </cols>
  <sheetData>
    <row r="1" spans="1:30">
      <c r="A1" s="236" t="s">
        <v>405</v>
      </c>
      <c r="B1" s="237" t="s">
        <v>404</v>
      </c>
      <c r="C1" s="237" t="s">
        <v>403</v>
      </c>
      <c r="D1" s="237" t="s">
        <v>124</v>
      </c>
      <c r="E1" s="237" t="s">
        <v>402</v>
      </c>
      <c r="F1" s="237" t="s">
        <v>401</v>
      </c>
      <c r="G1" s="237" t="s">
        <v>400</v>
      </c>
      <c r="H1" s="237" t="s">
        <v>399</v>
      </c>
      <c r="I1" s="237" t="s">
        <v>398</v>
      </c>
      <c r="J1" s="237" t="s">
        <v>397</v>
      </c>
      <c r="K1" s="238" t="s">
        <v>396</v>
      </c>
      <c r="L1" s="248"/>
      <c r="M1" s="248"/>
      <c r="N1" s="248"/>
      <c r="O1" s="248"/>
      <c r="P1" s="248"/>
      <c r="Q1" s="248"/>
      <c r="R1" s="248"/>
      <c r="T1" s="249"/>
      <c r="U1" s="249"/>
      <c r="V1" s="249"/>
      <c r="W1" s="249"/>
      <c r="X1" s="249"/>
      <c r="Y1" s="249"/>
      <c r="AA1" s="245"/>
      <c r="AB1" s="245"/>
      <c r="AC1" s="245"/>
      <c r="AD1" s="245"/>
    </row>
    <row r="2" spans="1:30">
      <c r="A2" s="234" t="s">
        <v>395</v>
      </c>
      <c r="B2" s="35" t="s">
        <v>394</v>
      </c>
      <c r="C2" s="35" t="s">
        <v>393</v>
      </c>
      <c r="D2" s="35" t="s">
        <v>392</v>
      </c>
      <c r="E2" s="35" t="s">
        <v>391</v>
      </c>
      <c r="F2" s="35" t="s">
        <v>390</v>
      </c>
      <c r="G2" s="35" t="s">
        <v>389</v>
      </c>
      <c r="H2" s="35" t="s">
        <v>388</v>
      </c>
      <c r="I2" s="36">
        <v>90000</v>
      </c>
      <c r="J2" s="35" t="s">
        <v>304</v>
      </c>
      <c r="K2" s="235" t="s">
        <v>387</v>
      </c>
      <c r="L2" s="4"/>
      <c r="M2" s="4"/>
      <c r="N2" s="4"/>
      <c r="O2" s="4"/>
      <c r="P2" s="4"/>
      <c r="Q2" s="4"/>
      <c r="R2" s="4"/>
      <c r="T2" s="4"/>
      <c r="U2" s="4"/>
      <c r="V2" s="4"/>
      <c r="W2" s="4"/>
      <c r="X2" s="4"/>
      <c r="Y2" s="4"/>
      <c r="AA2" s="4"/>
      <c r="AB2" s="4"/>
      <c r="AC2" s="4"/>
      <c r="AD2" s="4"/>
    </row>
    <row r="3" spans="1:30">
      <c r="A3" s="234" t="s">
        <v>386</v>
      </c>
      <c r="B3" s="35" t="s">
        <v>385</v>
      </c>
      <c r="C3" s="35" t="s">
        <v>384</v>
      </c>
      <c r="D3" s="35" t="s">
        <v>135</v>
      </c>
      <c r="E3" s="35" t="s">
        <v>383</v>
      </c>
      <c r="F3" s="35" t="s">
        <v>382</v>
      </c>
      <c r="G3" s="35" t="s">
        <v>381</v>
      </c>
      <c r="H3" s="35" t="s">
        <v>380</v>
      </c>
      <c r="I3" s="36">
        <v>72000</v>
      </c>
      <c r="J3" s="35" t="s">
        <v>294</v>
      </c>
      <c r="K3" s="235" t="s">
        <v>379</v>
      </c>
      <c r="L3" s="4"/>
      <c r="M3" s="4"/>
      <c r="N3" s="4"/>
      <c r="O3" s="4"/>
      <c r="P3" s="4"/>
      <c r="Q3" s="4"/>
      <c r="R3" s="4"/>
      <c r="T3" s="4"/>
      <c r="U3" s="4"/>
      <c r="V3" s="4"/>
      <c r="W3" s="4"/>
      <c r="X3" s="4"/>
      <c r="Y3" s="4"/>
      <c r="AA3" s="4"/>
      <c r="AB3" s="4"/>
      <c r="AC3" s="4"/>
      <c r="AD3" s="4"/>
    </row>
    <row r="4" spans="1:30">
      <c r="A4" s="234" t="s">
        <v>378</v>
      </c>
      <c r="B4" s="35" t="s">
        <v>377</v>
      </c>
      <c r="C4" s="35" t="s">
        <v>376</v>
      </c>
      <c r="D4" s="35" t="s">
        <v>319</v>
      </c>
      <c r="E4" s="35" t="s">
        <v>375</v>
      </c>
      <c r="F4" s="35" t="s">
        <v>374</v>
      </c>
      <c r="G4" s="35" t="s">
        <v>373</v>
      </c>
      <c r="H4" s="35" t="s">
        <v>372</v>
      </c>
      <c r="I4" s="36">
        <v>85000</v>
      </c>
      <c r="J4" s="35" t="s">
        <v>371</v>
      </c>
      <c r="K4" s="235" t="s">
        <v>370</v>
      </c>
      <c r="L4" s="4"/>
      <c r="M4" s="4"/>
      <c r="N4" s="4"/>
      <c r="O4" s="4"/>
      <c r="P4" s="4"/>
      <c r="Q4" s="4"/>
      <c r="R4" s="4"/>
      <c r="T4" s="4"/>
      <c r="U4" s="4"/>
      <c r="V4" s="4"/>
      <c r="W4" s="4"/>
      <c r="X4" s="4"/>
      <c r="Y4" s="4"/>
      <c r="AA4" s="4"/>
      <c r="AB4" s="4"/>
      <c r="AC4" s="4"/>
      <c r="AD4" s="4"/>
    </row>
    <row r="5" spans="1:30">
      <c r="A5" s="234" t="s">
        <v>369</v>
      </c>
      <c r="B5" s="35" t="s">
        <v>368</v>
      </c>
      <c r="C5" s="35" t="s">
        <v>367</v>
      </c>
      <c r="D5" s="35" t="s">
        <v>260</v>
      </c>
      <c r="E5" s="35" t="s">
        <v>366</v>
      </c>
      <c r="F5" s="35" t="s">
        <v>365</v>
      </c>
      <c r="G5" s="35" t="s">
        <v>364</v>
      </c>
      <c r="H5" s="35" t="s">
        <v>363</v>
      </c>
      <c r="I5" s="36">
        <v>78500</v>
      </c>
      <c r="J5" s="35" t="s">
        <v>362</v>
      </c>
      <c r="K5" s="235" t="s">
        <v>361</v>
      </c>
      <c r="L5" s="4"/>
      <c r="M5" s="4"/>
      <c r="N5" s="4"/>
      <c r="O5" s="4"/>
      <c r="P5" s="4"/>
      <c r="Q5" s="4"/>
      <c r="R5" s="4"/>
      <c r="T5" s="4"/>
      <c r="U5" s="4"/>
      <c r="V5" s="4"/>
      <c r="W5" s="4"/>
      <c r="X5" s="4"/>
      <c r="Y5" s="4"/>
      <c r="AA5" s="4"/>
      <c r="AB5" s="4"/>
      <c r="AC5" s="4"/>
      <c r="AD5" s="4"/>
    </row>
    <row r="6" spans="1:30">
      <c r="A6" s="234" t="s">
        <v>360</v>
      </c>
      <c r="B6" s="35" t="s">
        <v>359</v>
      </c>
      <c r="C6" s="35" t="s">
        <v>358</v>
      </c>
      <c r="D6" s="35" t="s">
        <v>357</v>
      </c>
      <c r="E6" s="35" t="s">
        <v>356</v>
      </c>
      <c r="F6" s="35" t="s">
        <v>355</v>
      </c>
      <c r="G6" s="35" t="s">
        <v>354</v>
      </c>
      <c r="H6" s="35" t="s">
        <v>353</v>
      </c>
      <c r="I6" s="36">
        <v>70000</v>
      </c>
      <c r="J6" s="35" t="s">
        <v>352</v>
      </c>
      <c r="K6" s="235" t="s">
        <v>351</v>
      </c>
      <c r="L6" s="4"/>
      <c r="M6" s="4"/>
      <c r="N6" s="4"/>
      <c r="O6" s="4"/>
      <c r="P6" s="4"/>
      <c r="Q6" s="4"/>
      <c r="R6" s="4"/>
      <c r="T6" s="4"/>
      <c r="U6" s="4"/>
      <c r="V6" s="4"/>
      <c r="W6" s="4"/>
      <c r="X6" s="4"/>
      <c r="Y6" s="4"/>
      <c r="AA6" s="4"/>
      <c r="AB6" s="4"/>
      <c r="AC6" s="4"/>
      <c r="AD6" s="4"/>
    </row>
    <row r="7" spans="1:30">
      <c r="A7" s="234" t="s">
        <v>350</v>
      </c>
      <c r="B7" s="35" t="s">
        <v>349</v>
      </c>
      <c r="C7" s="35" t="s">
        <v>348</v>
      </c>
      <c r="D7" s="35" t="s">
        <v>141</v>
      </c>
      <c r="E7" s="35" t="s">
        <v>347</v>
      </c>
      <c r="F7" s="35" t="s">
        <v>346</v>
      </c>
      <c r="G7" s="35" t="s">
        <v>345</v>
      </c>
      <c r="H7" s="35" t="s">
        <v>344</v>
      </c>
      <c r="I7" s="36">
        <v>96000</v>
      </c>
      <c r="J7" s="35" t="s">
        <v>343</v>
      </c>
      <c r="K7" s="235" t="s">
        <v>342</v>
      </c>
      <c r="L7" s="4"/>
      <c r="M7" s="4"/>
      <c r="N7" s="4"/>
      <c r="O7" s="4"/>
      <c r="P7" s="4"/>
      <c r="Q7" s="4"/>
      <c r="R7" s="4"/>
      <c r="T7" s="4"/>
      <c r="U7" s="4"/>
      <c r="V7" s="4"/>
      <c r="W7" s="4"/>
      <c r="X7" s="4"/>
      <c r="Y7" s="4"/>
      <c r="AA7" s="4"/>
      <c r="AB7" s="4"/>
      <c r="AC7" s="4"/>
      <c r="AD7" s="4"/>
    </row>
    <row r="8" spans="1:30">
      <c r="A8" s="234" t="s">
        <v>341</v>
      </c>
      <c r="B8" s="35" t="s">
        <v>340</v>
      </c>
      <c r="C8" s="35" t="s">
        <v>339</v>
      </c>
      <c r="D8" s="35" t="s">
        <v>338</v>
      </c>
      <c r="E8" s="35" t="s">
        <v>337</v>
      </c>
      <c r="F8" s="35" t="s">
        <v>336</v>
      </c>
      <c r="G8" s="35" t="s">
        <v>335</v>
      </c>
      <c r="H8" s="35" t="s">
        <v>334</v>
      </c>
      <c r="I8" s="36">
        <v>58000</v>
      </c>
      <c r="J8" s="35" t="s">
        <v>284</v>
      </c>
      <c r="K8" s="235" t="s">
        <v>333</v>
      </c>
      <c r="L8" s="4"/>
      <c r="M8" s="4"/>
      <c r="N8" s="4"/>
      <c r="O8" s="4"/>
      <c r="P8" s="4"/>
      <c r="Q8" s="4"/>
      <c r="R8" s="4"/>
      <c r="T8" s="4"/>
      <c r="U8" s="4"/>
      <c r="V8" s="4"/>
      <c r="W8" s="4"/>
      <c r="X8" s="4"/>
      <c r="Y8" s="4"/>
      <c r="AA8" s="4"/>
      <c r="AB8" s="4"/>
      <c r="AC8" s="4"/>
      <c r="AD8" s="4"/>
    </row>
    <row r="9" spans="1:30">
      <c r="A9" s="234" t="s">
        <v>332</v>
      </c>
      <c r="B9" s="35" t="s">
        <v>331</v>
      </c>
      <c r="C9" s="35" t="s">
        <v>330</v>
      </c>
      <c r="D9" s="35" t="s">
        <v>329</v>
      </c>
      <c r="E9" s="35" t="s">
        <v>328</v>
      </c>
      <c r="F9" s="35" t="s">
        <v>327</v>
      </c>
      <c r="G9" s="35" t="s">
        <v>326</v>
      </c>
      <c r="H9" s="35" t="s">
        <v>325</v>
      </c>
      <c r="I9" s="36">
        <v>65500</v>
      </c>
      <c r="J9" s="35" t="s">
        <v>324</v>
      </c>
      <c r="K9" s="235" t="s">
        <v>323</v>
      </c>
      <c r="L9" s="4"/>
      <c r="M9" s="4"/>
      <c r="N9" s="4"/>
      <c r="O9" s="4"/>
      <c r="P9" s="4"/>
      <c r="Q9" s="4"/>
      <c r="R9" s="4"/>
      <c r="T9" s="4"/>
      <c r="U9" s="4"/>
      <c r="V9" s="4"/>
      <c r="W9" s="4"/>
      <c r="X9" s="4"/>
      <c r="Y9" s="4"/>
      <c r="AA9" s="4"/>
      <c r="AB9" s="4"/>
      <c r="AC9" s="4"/>
      <c r="AD9" s="4"/>
    </row>
    <row r="10" spans="1:30">
      <c r="A10" s="234" t="s">
        <v>322</v>
      </c>
      <c r="B10" s="35" t="s">
        <v>321</v>
      </c>
      <c r="C10" s="35" t="s">
        <v>320</v>
      </c>
      <c r="D10" s="35" t="s">
        <v>319</v>
      </c>
      <c r="E10" s="35" t="s">
        <v>318</v>
      </c>
      <c r="F10" s="35" t="s">
        <v>317</v>
      </c>
      <c r="G10" s="35" t="s">
        <v>316</v>
      </c>
      <c r="H10" s="35" t="s">
        <v>315</v>
      </c>
      <c r="I10" s="36">
        <v>105000</v>
      </c>
      <c r="J10" s="35" t="s">
        <v>314</v>
      </c>
      <c r="K10" s="235" t="s">
        <v>313</v>
      </c>
      <c r="L10" s="4"/>
      <c r="M10" s="4"/>
      <c r="N10" s="4"/>
      <c r="O10" s="4"/>
      <c r="P10" s="4"/>
      <c r="Q10" s="4"/>
      <c r="R10" s="4"/>
      <c r="T10" s="4"/>
      <c r="U10" s="4"/>
      <c r="V10" s="4"/>
      <c r="W10" s="4"/>
      <c r="X10" s="4"/>
      <c r="Y10" s="4"/>
      <c r="AA10" s="4"/>
      <c r="AB10" s="4"/>
      <c r="AC10" s="4"/>
      <c r="AD10" s="4"/>
    </row>
    <row r="11" spans="1:30">
      <c r="A11" s="234" t="s">
        <v>312</v>
      </c>
      <c r="B11" s="35" t="s">
        <v>311</v>
      </c>
      <c r="C11" s="35" t="s">
        <v>310</v>
      </c>
      <c r="D11" s="35" t="s">
        <v>309</v>
      </c>
      <c r="E11" s="35" t="s">
        <v>308</v>
      </c>
      <c r="F11" s="35" t="s">
        <v>307</v>
      </c>
      <c r="G11" s="35" t="s">
        <v>306</v>
      </c>
      <c r="H11" s="35" t="s">
        <v>305</v>
      </c>
      <c r="I11" s="36">
        <v>112000</v>
      </c>
      <c r="J11" s="35" t="s">
        <v>304</v>
      </c>
      <c r="K11" s="235" t="s">
        <v>303</v>
      </c>
      <c r="L11" s="4"/>
      <c r="M11" s="4"/>
      <c r="N11" s="4"/>
      <c r="O11" s="4"/>
      <c r="P11" s="4"/>
      <c r="Q11" s="4"/>
      <c r="R11" s="4"/>
      <c r="T11" s="4"/>
      <c r="U11" s="4"/>
      <c r="V11" s="4"/>
      <c r="W11" s="4"/>
      <c r="X11" s="4"/>
      <c r="Y11" s="4"/>
      <c r="AA11" s="4"/>
      <c r="AB11" s="4"/>
      <c r="AC11" s="4"/>
      <c r="AD11" s="4"/>
    </row>
    <row r="12" spans="1:30">
      <c r="A12" s="234" t="s">
        <v>302</v>
      </c>
      <c r="B12" s="35" t="s">
        <v>301</v>
      </c>
      <c r="C12" s="35" t="s">
        <v>300</v>
      </c>
      <c r="D12" s="35" t="s">
        <v>299</v>
      </c>
      <c r="E12" s="35" t="s">
        <v>298</v>
      </c>
      <c r="F12" s="35" t="s">
        <v>297</v>
      </c>
      <c r="G12" s="35" t="s">
        <v>296</v>
      </c>
      <c r="H12" s="35" t="s">
        <v>295</v>
      </c>
      <c r="I12" s="36">
        <v>98000</v>
      </c>
      <c r="J12" s="35" t="s">
        <v>294</v>
      </c>
      <c r="K12" s="235" t="s">
        <v>293</v>
      </c>
      <c r="L12" s="4"/>
      <c r="M12" s="4"/>
      <c r="N12" s="4"/>
      <c r="O12" s="4"/>
      <c r="P12" s="4"/>
      <c r="Q12" s="4"/>
      <c r="R12" s="4"/>
      <c r="T12" s="4"/>
      <c r="U12" s="4"/>
      <c r="V12" s="4"/>
      <c r="W12" s="4"/>
      <c r="X12" s="4"/>
      <c r="Y12" s="4"/>
      <c r="AA12" s="4"/>
      <c r="AB12" s="4"/>
      <c r="AC12" s="4"/>
      <c r="AD12" s="4"/>
    </row>
    <row r="13" spans="1:30">
      <c r="A13" s="234" t="s">
        <v>292</v>
      </c>
      <c r="B13" s="35" t="s">
        <v>291</v>
      </c>
      <c r="C13" s="35" t="s">
        <v>290</v>
      </c>
      <c r="D13" s="35" t="s">
        <v>289</v>
      </c>
      <c r="E13" s="35" t="s">
        <v>288</v>
      </c>
      <c r="F13" s="35" t="s">
        <v>287</v>
      </c>
      <c r="G13" s="35" t="s">
        <v>286</v>
      </c>
      <c r="H13" s="35" t="s">
        <v>285</v>
      </c>
      <c r="I13" s="36">
        <v>80000</v>
      </c>
      <c r="J13" s="35" t="s">
        <v>284</v>
      </c>
      <c r="K13" s="235" t="s">
        <v>283</v>
      </c>
      <c r="L13" s="4"/>
      <c r="M13" s="4"/>
      <c r="N13" s="4"/>
      <c r="O13" s="4"/>
      <c r="P13" s="4"/>
      <c r="Q13" s="4"/>
      <c r="R13" s="4"/>
      <c r="T13" s="4"/>
      <c r="U13" s="4"/>
      <c r="V13" s="4"/>
      <c r="W13" s="4"/>
      <c r="X13" s="4"/>
      <c r="Y13" s="4"/>
      <c r="AA13" s="4"/>
      <c r="AB13" s="4"/>
      <c r="AC13" s="4"/>
      <c r="AD13" s="4"/>
    </row>
    <row r="14" spans="1:30">
      <c r="A14" s="234" t="s">
        <v>282</v>
      </c>
      <c r="B14" s="35" t="s">
        <v>281</v>
      </c>
      <c r="C14" s="35" t="s">
        <v>280</v>
      </c>
      <c r="D14" s="35" t="s">
        <v>279</v>
      </c>
      <c r="E14" s="35" t="s">
        <v>278</v>
      </c>
      <c r="F14" s="35" t="s">
        <v>277</v>
      </c>
      <c r="G14" s="35" t="s">
        <v>276</v>
      </c>
      <c r="H14" s="35" t="s">
        <v>275</v>
      </c>
      <c r="I14" s="36">
        <v>120000</v>
      </c>
      <c r="J14" s="35" t="s">
        <v>274</v>
      </c>
      <c r="K14" s="235" t="s">
        <v>273</v>
      </c>
      <c r="L14" s="4"/>
      <c r="M14" s="4"/>
      <c r="N14" s="4"/>
      <c r="O14" s="4"/>
      <c r="P14" s="4"/>
      <c r="Q14" s="4"/>
      <c r="R14" s="4"/>
      <c r="T14" s="4"/>
      <c r="U14" s="4"/>
      <c r="V14" s="4"/>
      <c r="W14" s="4"/>
      <c r="X14" s="4"/>
      <c r="Y14" s="4"/>
      <c r="AA14" s="4"/>
      <c r="AB14" s="4"/>
      <c r="AC14" s="4"/>
      <c r="AD14" s="4"/>
    </row>
    <row r="15" spans="1:30">
      <c r="A15" s="234" t="s">
        <v>272</v>
      </c>
      <c r="B15" s="35" t="s">
        <v>271</v>
      </c>
      <c r="C15" s="35" t="s">
        <v>270</v>
      </c>
      <c r="D15" s="35" t="s">
        <v>135</v>
      </c>
      <c r="E15" s="35" t="s">
        <v>269</v>
      </c>
      <c r="F15" s="35" t="s">
        <v>268</v>
      </c>
      <c r="G15" s="35" t="s">
        <v>267</v>
      </c>
      <c r="H15" s="35" t="s">
        <v>266</v>
      </c>
      <c r="I15" s="36">
        <v>108000</v>
      </c>
      <c r="J15" s="35" t="s">
        <v>265</v>
      </c>
      <c r="K15" s="235" t="s">
        <v>264</v>
      </c>
      <c r="L15" s="4"/>
      <c r="M15" s="4"/>
      <c r="N15" s="4"/>
      <c r="O15" s="4"/>
      <c r="P15" s="4"/>
      <c r="Q15" s="4"/>
      <c r="R15" s="4"/>
      <c r="T15" s="4"/>
      <c r="U15" s="4"/>
      <c r="V15" s="4"/>
      <c r="W15" s="4"/>
      <c r="X15" s="4"/>
      <c r="Y15" s="4"/>
      <c r="AA15" s="4"/>
      <c r="AB15" s="4"/>
      <c r="AC15" s="4"/>
      <c r="AD15" s="4"/>
    </row>
    <row r="16" spans="1:30">
      <c r="A16" s="239" t="s">
        <v>263</v>
      </c>
      <c r="B16" s="240" t="s">
        <v>262</v>
      </c>
      <c r="C16" s="240" t="s">
        <v>261</v>
      </c>
      <c r="D16" s="240" t="s">
        <v>260</v>
      </c>
      <c r="E16" s="240" t="s">
        <v>259</v>
      </c>
      <c r="F16" s="240" t="s">
        <v>258</v>
      </c>
      <c r="G16" s="240" t="s">
        <v>257</v>
      </c>
      <c r="H16" s="240" t="s">
        <v>256</v>
      </c>
      <c r="I16" s="241">
        <v>60000</v>
      </c>
      <c r="J16" s="240" t="s">
        <v>255</v>
      </c>
      <c r="K16" s="242" t="s">
        <v>254</v>
      </c>
      <c r="L16" s="4"/>
      <c r="M16" s="4"/>
      <c r="N16" s="4"/>
      <c r="O16" s="4"/>
      <c r="P16" s="4"/>
      <c r="Q16" s="4"/>
      <c r="R16" s="4"/>
      <c r="T16" s="4"/>
      <c r="U16" s="4"/>
      <c r="V16" s="4"/>
      <c r="W16" s="4"/>
      <c r="X16" s="4"/>
      <c r="Y16" s="4"/>
      <c r="AA16" s="4"/>
      <c r="AB16" s="4"/>
      <c r="AC16" s="4"/>
      <c r="AD16" s="4"/>
    </row>
    <row r="17" spans="1:30">
      <c r="AA17" s="4"/>
      <c r="AB17" s="4"/>
      <c r="AC17" s="4"/>
      <c r="AD17" s="4"/>
    </row>
    <row r="18" spans="1:30" ht="15.6">
      <c r="A18" s="34" t="s">
        <v>253</v>
      </c>
      <c r="C18" s="197" t="s">
        <v>969</v>
      </c>
      <c r="AA18" s="4"/>
      <c r="AB18" s="4"/>
      <c r="AC18" s="4"/>
      <c r="AD18" s="4"/>
    </row>
    <row r="19" spans="1:30">
      <c r="A19" s="32"/>
    </row>
    <row r="20" spans="1:30">
      <c r="A20" s="30" t="s">
        <v>252</v>
      </c>
    </row>
    <row r="21" spans="1:30">
      <c r="A21" s="31" t="s">
        <v>251</v>
      </c>
    </row>
    <row r="22" spans="1:30">
      <c r="A22" s="31" t="s">
        <v>250</v>
      </c>
    </row>
    <row r="23" spans="1:30">
      <c r="A23" s="31" t="s">
        <v>249</v>
      </c>
    </row>
    <row r="24" spans="1:30">
      <c r="A24" s="31" t="s">
        <v>248</v>
      </c>
    </row>
    <row r="25" spans="1:30">
      <c r="A25" s="30" t="s">
        <v>247</v>
      </c>
    </row>
    <row r="26" spans="1:30">
      <c r="A26" s="30" t="s">
        <v>246</v>
      </c>
    </row>
    <row r="27" spans="1:30">
      <c r="A27" s="31" t="s">
        <v>245</v>
      </c>
    </row>
    <row r="28" spans="1:30">
      <c r="A28" s="31" t="s">
        <v>244</v>
      </c>
    </row>
    <row r="32" spans="1:30" ht="15.6">
      <c r="A32" s="34" t="s">
        <v>243</v>
      </c>
      <c r="D32" s="194" t="s">
        <v>969</v>
      </c>
    </row>
    <row r="33" spans="1:4">
      <c r="A33" s="32"/>
    </row>
    <row r="34" spans="1:4">
      <c r="A34" s="30" t="s">
        <v>242</v>
      </c>
    </row>
    <row r="35" spans="1:4">
      <c r="A35" s="31" t="s">
        <v>241</v>
      </c>
    </row>
    <row r="36" spans="1:4">
      <c r="A36" s="31" t="s">
        <v>240</v>
      </c>
    </row>
    <row r="37" spans="1:4">
      <c r="A37" s="31" t="s">
        <v>239</v>
      </c>
    </row>
    <row r="38" spans="1:4">
      <c r="A38" s="30" t="s">
        <v>238</v>
      </c>
    </row>
    <row r="39" spans="1:4">
      <c r="A39" s="31" t="s">
        <v>237</v>
      </c>
    </row>
    <row r="40" spans="1:4">
      <c r="A40" s="31" t="s">
        <v>236</v>
      </c>
    </row>
    <row r="41" spans="1:4">
      <c r="A41" s="31" t="s">
        <v>235</v>
      </c>
    </row>
    <row r="45" spans="1:4" ht="15.6">
      <c r="A45" s="34" t="s">
        <v>234</v>
      </c>
      <c r="D45" s="196" t="s">
        <v>969</v>
      </c>
    </row>
    <row r="46" spans="1:4">
      <c r="A46" s="32"/>
    </row>
    <row r="47" spans="1:4">
      <c r="A47" s="30" t="s">
        <v>233</v>
      </c>
    </row>
    <row r="48" spans="1:4">
      <c r="A48" s="30" t="s">
        <v>232</v>
      </c>
    </row>
    <row r="49" spans="1:4">
      <c r="A49" s="31" t="s">
        <v>231</v>
      </c>
    </row>
    <row r="50" spans="1:4">
      <c r="A50" s="31" t="s">
        <v>230</v>
      </c>
    </row>
    <row r="51" spans="1:4">
      <c r="A51" s="30" t="s">
        <v>229</v>
      </c>
    </row>
    <row r="52" spans="1:4">
      <c r="A52" s="31" t="s">
        <v>228</v>
      </c>
    </row>
    <row r="53" spans="1:4">
      <c r="A53" s="31" t="s">
        <v>227</v>
      </c>
    </row>
    <row r="54" spans="1:4">
      <c r="A54" s="31" t="s">
        <v>226</v>
      </c>
    </row>
    <row r="58" spans="1:4" ht="15.6">
      <c r="A58" s="34" t="s">
        <v>225</v>
      </c>
      <c r="D58" s="243" t="s">
        <v>969</v>
      </c>
    </row>
    <row r="59" spans="1:4">
      <c r="A59" s="32"/>
    </row>
    <row r="60" spans="1:4">
      <c r="A60" s="30" t="s">
        <v>224</v>
      </c>
    </row>
    <row r="61" spans="1:4">
      <c r="A61" s="31" t="s">
        <v>223</v>
      </c>
    </row>
    <row r="62" spans="1:4">
      <c r="A62" s="31" t="s">
        <v>222</v>
      </c>
    </row>
    <row r="63" spans="1:4">
      <c r="A63" s="30" t="s">
        <v>221</v>
      </c>
    </row>
    <row r="67" spans="1:5" ht="18">
      <c r="A67" s="33" t="s">
        <v>220</v>
      </c>
      <c r="D67" s="246" t="s">
        <v>969</v>
      </c>
    </row>
    <row r="68" spans="1:5">
      <c r="A68" s="32"/>
    </row>
    <row r="69" spans="1:5">
      <c r="A69" s="30" t="s">
        <v>219</v>
      </c>
    </row>
    <row r="70" spans="1:5">
      <c r="A70" s="31" t="s">
        <v>218</v>
      </c>
    </row>
    <row r="71" spans="1:5">
      <c r="A71" s="31" t="s">
        <v>217</v>
      </c>
    </row>
    <row r="72" spans="1:5">
      <c r="A72" s="31" t="s">
        <v>216</v>
      </c>
    </row>
    <row r="73" spans="1:5">
      <c r="A73" s="31" t="s">
        <v>215</v>
      </c>
    </row>
    <row r="74" spans="1:5">
      <c r="A74" s="30" t="s">
        <v>214</v>
      </c>
    </row>
    <row r="77" spans="1:5">
      <c r="A77" t="s">
        <v>213</v>
      </c>
      <c r="E77" s="233" t="s">
        <v>985</v>
      </c>
    </row>
  </sheetData>
  <hyperlinks>
    <hyperlink ref="E77" location="'9 sol'!A1" display="'Go to Solutions" xr:uid="{AD261043-496D-482B-8EF6-E3D95549EFC9}"/>
  </hyperlink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71341-5F7C-46D2-987E-13A83A7C7759}">
  <sheetPr>
    <tabColor theme="3" tint="0.749992370372631"/>
  </sheetPr>
  <dimension ref="A1:Y18"/>
  <sheetViews>
    <sheetView workbookViewId="0">
      <selection activeCell="W22" sqref="W22"/>
    </sheetView>
  </sheetViews>
  <sheetFormatPr defaultRowHeight="14.4"/>
  <cols>
    <col min="3" max="3" width="15.109375" bestFit="1" customWidth="1"/>
    <col min="4" max="4" width="9.6640625" bestFit="1" customWidth="1"/>
    <col min="5" max="5" width="15.77734375" bestFit="1" customWidth="1"/>
    <col min="6" max="6" width="15.33203125" bestFit="1" customWidth="1"/>
    <col min="7" max="7" width="11" bestFit="1" customWidth="1"/>
    <col min="9" max="9" width="17.44140625" bestFit="1" customWidth="1"/>
    <col min="10" max="10" width="15.88671875" bestFit="1" customWidth="1"/>
    <col min="11" max="11" width="16.88671875" bestFit="1" customWidth="1"/>
    <col min="12" max="12" width="11.109375" bestFit="1" customWidth="1"/>
    <col min="13" max="13" width="9.33203125" bestFit="1" customWidth="1"/>
    <col min="14" max="14" width="9.77734375" bestFit="1" customWidth="1"/>
    <col min="17" max="17" width="14.33203125" bestFit="1" customWidth="1"/>
    <col min="19" max="19" width="18.44140625" bestFit="1" customWidth="1"/>
    <col min="21" max="21" width="21.33203125" bestFit="1" customWidth="1"/>
    <col min="24" max="24" width="14.33203125" bestFit="1" customWidth="1"/>
    <col min="25" max="25" width="16.44140625" bestFit="1" customWidth="1"/>
  </cols>
  <sheetData>
    <row r="1" spans="1:25">
      <c r="A1" s="192" t="s">
        <v>952</v>
      </c>
      <c r="B1" s="192" t="s">
        <v>953</v>
      </c>
      <c r="C1" s="192" t="s">
        <v>954</v>
      </c>
      <c r="D1" s="192" t="s">
        <v>955</v>
      </c>
      <c r="E1" s="192" t="s">
        <v>956</v>
      </c>
      <c r="F1" s="192" t="s">
        <v>957</v>
      </c>
      <c r="G1" s="192" t="s">
        <v>958</v>
      </c>
      <c r="I1" s="193" t="s">
        <v>959</v>
      </c>
      <c r="J1" s="193" t="s">
        <v>960</v>
      </c>
      <c r="K1" s="193" t="s">
        <v>961</v>
      </c>
      <c r="L1" s="193" t="s">
        <v>962</v>
      </c>
      <c r="M1" s="193" t="s">
        <v>963</v>
      </c>
      <c r="N1" s="193" t="s">
        <v>964</v>
      </c>
      <c r="P1" s="195" t="s">
        <v>965</v>
      </c>
      <c r="Q1" s="195" t="s">
        <v>966</v>
      </c>
      <c r="R1" s="195" t="s">
        <v>967</v>
      </c>
      <c r="S1" s="195" t="s">
        <v>968</v>
      </c>
      <c r="U1" s="244" t="s">
        <v>986</v>
      </c>
      <c r="V1" s="244" t="s">
        <v>987</v>
      </c>
      <c r="W1" s="245"/>
      <c r="X1" s="247" t="s">
        <v>988</v>
      </c>
      <c r="Y1" s="247" t="s">
        <v>989</v>
      </c>
    </row>
    <row r="2" spans="1:25">
      <c r="A2" s="162" t="str">
        <f>_xlfn.TEXTBEFORE(_xlfn.TEXTAFTER(EmpData[[#This Row],[Office Code]],"-"),"-")</f>
        <v>101</v>
      </c>
      <c r="B2" s="162" t="str">
        <f>_xlfn.TEXTBEFORE(_xlfn.TEXTAFTER(EmpData[[#This Row],[Office Code]],"-",2),"-")</f>
        <v>NY</v>
      </c>
      <c r="C2" s="162" t="str">
        <f>_xlfn.TEXTBEFORE(_xlfn.TEXTAFTER(EmpData[[#This Row],[Office Code]],"-",3),"-")</f>
        <v>23</v>
      </c>
      <c r="D2" s="162" t="str">
        <f>_xlfn.TEXTAFTER(EmpData[[#This Row],[Office Code]],"-",4)</f>
        <v>01</v>
      </c>
      <c r="E2" s="162" t="str">
        <f>LEFT(EmpData[[#This Row],[Full Name]],3) &amp;
 LEFT(EmpData[[#This Row],[Department]],3) &amp;
 RIGHT(EmpData[[#This Row],[Phone Number]],4)</f>
        <v>JohHum101A</v>
      </c>
      <c r="F2" s="162" t="str">
        <f>LEFT(EmpData[[#This Row],[Email]], FIND("@", EmpData[[#This Row],[Email]]) - 1)</f>
        <v>john.smith</v>
      </c>
      <c r="G2" s="162" t="str">
        <f>MID(
    EmpData[[#This Row],[Email]],
    FIND("@", EmpData[[#This Row],[Email]]) + 1,
    FIND(".", EmpData[[#This Row],[Email]], FIND("@", EmpData[[#This Row],[Email]]))
        - FIND("@", EmpData[[#This Row],[Email]]) - 1
)</f>
        <v>nyc</v>
      </c>
      <c r="I2" s="194" t="str">
        <f>LEFT(EmpData[[#This Row],[Performance Code]], 3)</f>
        <v>EXC</v>
      </c>
      <c r="J2" s="194" t="str">
        <f>RIGHT(EmpData[[#This Row],[Performance Code]], 4)</f>
        <v>2022</v>
      </c>
      <c r="K2" s="194" t="str">
        <f>MID(
    EmpData[[#This Row],[Performance Code]],
    FIND("-", EmpData[[#This Row],[Performance Code]]) + 1,
    FIND("-", EmpData[[#This Row],[Performance Code]], FIND("-", EmpData[[#This Row],[Performance Code]]) + 1)
        - FIND("-", EmpData[[#This Row],[Performance Code]]) - 1
)</f>
        <v>9</v>
      </c>
      <c r="L2" s="194" t="str">
        <f>MID(
    EmpData[[#This Row],[Address]],
    FIND(" ", EmpData[[#This Row],[Address]]) + 1,
    FIND(",", EmpData[[#This Row],[Address]]) - FIND(" ", EmpData[[#This Row],[Address]]) - 1
)</f>
        <v>Elm St</v>
      </c>
      <c r="M2" s="194" t="str">
        <f>TRIM(
    MID(
        EmpData[[#This Row],[Address]],
        FIND(",", EmpData[[#This Row],[Address]]) + 2,
        FIND(",", EmpData[[#This Row],[Address]], FIND(",", EmpData[[#This Row],[Address]]) + 1)
            - FIND(",", EmpData[[#This Row],[Address]]) - 2
    )
)</f>
        <v>New York</v>
      </c>
      <c r="N2" s="194" t="str">
        <f>TRIM(
    RIGHT(
        EmpData[[#This Row],[Address]],
        LEN(EmpData[[#This Row],[Address]]) -
        FIND(",", EmpData[[#This Row],[Address]], FIND(",", EmpData[[#This Row],[Address]]) + 1)
    )
)</f>
        <v>NY 10001</v>
      </c>
      <c r="P2" s="196">
        <f>YEAR(EmpData[[#This Row],[Hire Date]]) -
 VALUE(_xlfn.TEXTBEFORE(_xlfn.TEXTAFTER(EmpData[[#This Row],[Office Code]],"-",3),"-"))</f>
        <v>1992</v>
      </c>
      <c r="Q2" s="196" t="str">
        <f>IFERROR(MID(EmpData[[#This Row],[Full Name]],FIND(" ",EmpData[[#This Row],[Full Name]])+1,FIND(" ",EmpData[[#This Row],[Full Name]],FIND(" ",EmpData[[#This Row],[Full Name]])+1)-FIND(" ",EmpData[[#This Row],[Full Name]])-1),"No Middle Name")</f>
        <v>Alexander</v>
      </c>
      <c r="R2"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JAS</v>
      </c>
      <c r="S2" s="196" t="str">
        <f>IF(EmpData[[#This Row],[Salary (USD)]]&lt;75000,"Junior",IF(EmpData[[#This Row],[Salary (USD)]]&lt;=100000,"Mid-level","Senior"))</f>
        <v>Mid-level</v>
      </c>
      <c r="U2" s="243" t="str">
        <f>EmpData[[#This Row],[Employee ID]] &amp; "-" &amp; UPPER(LEFT(EmpData[[#This Row],[Job Title]],3)) &amp; "-" &amp; LEFT(_xlfn.TEXTBEFORE(_xlfn.TEXTAFTER(EmpData[[#This Row],[Office Code]],"-",3),"-"),2)</f>
        <v>EMP001-SEN-23</v>
      </c>
      <c r="V2" s="243" t="str" cm="1">
        <f t="array" ref="V2">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Match</v>
      </c>
      <c r="X2"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JAS-H-15</v>
      </c>
      <c r="Y2" s="246" t="str">
        <f>_xlfn.TEXTBEFORE(_xlfn.TEXTAFTER(EmpData[[#This Row],[Phone Number]],"-"),"-") &amp; "-" &amp; RIGHT(_xlfn.TEXTBEFORE(EmpData[[#This Row],[Phone Number]]," "),4)</f>
        <v>202-0123</v>
      </c>
    </row>
    <row r="3" spans="1:25">
      <c r="A3" s="162" t="str">
        <f>_xlfn.TEXTBEFORE(_xlfn.TEXTAFTER(EmpData[[#This Row],[Office Code]],"-"),"-")</f>
        <v>102</v>
      </c>
      <c r="B3" s="162" t="str">
        <f>_xlfn.TEXTBEFORE(_xlfn.TEXTAFTER(EmpData[[#This Row],[Office Code]],"-",2),"-")</f>
        <v>CA</v>
      </c>
      <c r="C3" s="162" t="str">
        <f>_xlfn.TEXTBEFORE(_xlfn.TEXTAFTER(EmpData[[#This Row],[Office Code]],"-",3),"-")</f>
        <v>12</v>
      </c>
      <c r="D3" s="162" t="str">
        <f>_xlfn.TEXTAFTER(EmpData[[#This Row],[Office Code]],"-",4)</f>
        <v>02</v>
      </c>
      <c r="E3" s="162" t="str">
        <f>LEFT(EmpData[[#This Row],[Full Name]],3) &amp;
 LEFT(EmpData[[#This Row],[Department]],3) &amp;
 RIGHT(EmpData[[#This Row],[Phone Number]],4)</f>
        <v>EmiMar201B</v>
      </c>
      <c r="F3" s="162" t="str">
        <f>LEFT(EmpData[[#This Row],[Email]], FIND("@", EmpData[[#This Row],[Email]]) - 1)</f>
        <v>emily.davis</v>
      </c>
      <c r="G3" s="162" t="str">
        <f>MID(
    EmpData[[#This Row],[Email]],
    FIND("@", EmpData[[#This Row],[Email]]) + 1,
    FIND(".", EmpData[[#This Row],[Email]], FIND("@", EmpData[[#This Row],[Email]]))
        - FIND("@", EmpData[[#This Row],[Email]]) - 1
)</f>
        <v>sfo</v>
      </c>
      <c r="I3" s="194" t="str">
        <f>LEFT(EmpData[[#This Row],[Performance Code]], 3)</f>
        <v>SAT</v>
      </c>
      <c r="J3" s="194" t="str">
        <f>RIGHT(EmpData[[#This Row],[Performance Code]], 4)</f>
        <v>2021</v>
      </c>
      <c r="K3" s="194" t="str">
        <f>MID(
    EmpData[[#This Row],[Performance Code]],
    FIND("-", EmpData[[#This Row],[Performance Code]]) + 1,
    FIND("-", EmpData[[#This Row],[Performance Code]], FIND("-", EmpData[[#This Row],[Performance Code]]) + 1)
        - FIND("-", EmpData[[#This Row],[Performance Code]]) - 1
)</f>
        <v>8</v>
      </c>
      <c r="L3" s="194" t="str">
        <f>MID(
    EmpData[[#This Row],[Address]],
    FIND(" ", EmpData[[#This Row],[Address]]) + 1,
    FIND(",", EmpData[[#This Row],[Address]]) - FIND(" ", EmpData[[#This Row],[Address]]) - 1
)</f>
        <v>Pine Ave</v>
      </c>
      <c r="M3" s="194" t="str">
        <f>TRIM(
    MID(
        EmpData[[#This Row],[Address]],
        FIND(",", EmpData[[#This Row],[Address]]) + 2,
        FIND(",", EmpData[[#This Row],[Address]], FIND(",", EmpData[[#This Row],[Address]]) + 1)
            - FIND(",", EmpData[[#This Row],[Address]]) - 2
    )
)</f>
        <v>San Francisco</v>
      </c>
      <c r="N3" s="194" t="str">
        <f>TRIM(
    RIGHT(
        EmpData[[#This Row],[Address]],
        LEN(EmpData[[#This Row],[Address]]) -
        FIND(",", EmpData[[#This Row],[Address]], FIND(",", EmpData[[#This Row],[Address]]) + 1)
    )
)</f>
        <v>CA 94103</v>
      </c>
      <c r="P3" s="196">
        <f>YEAR(EmpData[[#This Row],[Hire Date]]) -
 VALUE(_xlfn.TEXTBEFORE(_xlfn.TEXTAFTER(EmpData[[#This Row],[Office Code]],"-",3),"-"))</f>
        <v>2004</v>
      </c>
      <c r="Q3" s="196" t="str">
        <f>IFERROR(MID(EmpData[[#This Row],[Full Name]],FIND(" ",EmpData[[#This Row],[Full Name]])+1,FIND(" ",EmpData[[#This Row],[Full Name]],FIND(" ",EmpData[[#This Row],[Full Name]])+1)-FIND(" ",EmpData[[#This Row],[Full Name]])-1),"No Middle Name")</f>
        <v>Jane</v>
      </c>
      <c r="R3"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EJD</v>
      </c>
      <c r="S3" s="196" t="str">
        <f>IF(EmpData[[#This Row],[Salary (USD)]]&lt;75000,"Junior",IF(EmpData[[#This Row],[Salary (USD)]]&lt;=100000,"Mid-level","Senior"))</f>
        <v>Junior</v>
      </c>
      <c r="U3" s="243" t="str">
        <f>EmpData[[#This Row],[Employee ID]] &amp; "-" &amp; UPPER(LEFT(EmpData[[#This Row],[Job Title]],3)) &amp; "-" &amp; LEFT(_xlfn.TEXTBEFORE(_xlfn.TEXTAFTER(EmpData[[#This Row],[Office Code]],"-",3),"-"),2)</f>
        <v>EMP002-MAR-12</v>
      </c>
      <c r="V3" s="243" t="str" cm="1">
        <f t="array" ref="V3">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Match</v>
      </c>
      <c r="X3"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EJD-M-16</v>
      </c>
      <c r="Y3" s="246" t="str">
        <f>_xlfn.TEXTBEFORE(_xlfn.TEXTAFTER(EmpData[[#This Row],[Phone Number]],"-"),"-") &amp; "-" &amp; RIGHT(_xlfn.TEXTBEFORE(EmpData[[#This Row],[Phone Number]]," "),4)</f>
        <v>415-0456</v>
      </c>
    </row>
    <row r="4" spans="1:25">
      <c r="A4" s="162" t="str">
        <f>_xlfn.TEXTBEFORE(_xlfn.TEXTAFTER(EmpData[[#This Row],[Office Code]],"-"),"-")</f>
        <v>103</v>
      </c>
      <c r="B4" s="162" t="str">
        <f>_xlfn.TEXTBEFORE(_xlfn.TEXTAFTER(EmpData[[#This Row],[Office Code]],"-",2),"-")</f>
        <v>TX</v>
      </c>
      <c r="C4" s="162" t="str">
        <f>_xlfn.TEXTBEFORE(_xlfn.TEXTAFTER(EmpData[[#This Row],[Office Code]],"-",3),"-")</f>
        <v>09</v>
      </c>
      <c r="D4" s="162" t="str">
        <f>_xlfn.TEXTAFTER(EmpData[[#This Row],[Office Code]],"-",4)</f>
        <v>03</v>
      </c>
      <c r="E4" s="162" t="str">
        <f>LEFT(EmpData[[#This Row],[Full Name]],3) &amp;
 LEFT(EmpData[[#This Row],[Department]],3) &amp;
 RIGHT(EmpData[[#This Row],[Phone Number]],4)</f>
        <v>MicIT 301C</v>
      </c>
      <c r="F4" s="162" t="str">
        <f>LEFT(EmpData[[#This Row],[Email]], FIND("@", EmpData[[#This Row],[Email]]) - 1)</f>
        <v>michael.johnson</v>
      </c>
      <c r="G4" s="162" t="str">
        <f>MID(
    EmpData[[#This Row],[Email]],
    FIND("@", EmpData[[#This Row],[Email]]) + 1,
    FIND(".", EmpData[[#This Row],[Email]], FIND("@", EmpData[[#This Row],[Email]]))
        - FIND("@", EmpData[[#This Row],[Email]]) - 1
)</f>
        <v>hou</v>
      </c>
      <c r="I4" s="194" t="str">
        <f>LEFT(EmpData[[#This Row],[Performance Code]], 3)</f>
        <v>UNS</v>
      </c>
      <c r="J4" s="194" t="str">
        <f>RIGHT(EmpData[[#This Row],[Performance Code]], 4)</f>
        <v>2020</v>
      </c>
      <c r="K4" s="194" t="str">
        <f>MID(
    EmpData[[#This Row],[Performance Code]],
    FIND("-", EmpData[[#This Row],[Performance Code]]) + 1,
    FIND("-", EmpData[[#This Row],[Performance Code]], FIND("-", EmpData[[#This Row],[Performance Code]]) + 1)
        - FIND("-", EmpData[[#This Row],[Performance Code]]) - 1
)</f>
        <v>6</v>
      </c>
      <c r="L4" s="194" t="str">
        <f>MID(
    EmpData[[#This Row],[Address]],
    FIND(" ", EmpData[[#This Row],[Address]]) + 1,
    FIND(",", EmpData[[#This Row],[Address]]) - FIND(" ", EmpData[[#This Row],[Address]]) - 1
)</f>
        <v>Maple Blvd</v>
      </c>
      <c r="M4" s="194" t="str">
        <f>TRIM(
    MID(
        EmpData[[#This Row],[Address]],
        FIND(",", EmpData[[#This Row],[Address]]) + 2,
        FIND(",", EmpData[[#This Row],[Address]], FIND(",", EmpData[[#This Row],[Address]]) + 1)
            - FIND(",", EmpData[[#This Row],[Address]]) - 2
    )
)</f>
        <v>Houston</v>
      </c>
      <c r="N4" s="194" t="str">
        <f>TRIM(
    RIGHT(
        EmpData[[#This Row],[Address]],
        LEN(EmpData[[#This Row],[Address]]) -
        FIND(",", EmpData[[#This Row],[Address]], FIND(",", EmpData[[#This Row],[Address]]) + 1)
    )
)</f>
        <v>TX 77001</v>
      </c>
      <c r="P4" s="196">
        <f>YEAR(EmpData[[#This Row],[Hire Date]]) -
 VALUE(_xlfn.TEXTBEFORE(_xlfn.TEXTAFTER(EmpData[[#This Row],[Office Code]],"-",3),"-"))</f>
        <v>2008</v>
      </c>
      <c r="Q4" s="196" t="str">
        <f>IFERROR(MID(EmpData[[#This Row],[Full Name]],FIND(" ",EmpData[[#This Row],[Full Name]])+1,FIND(" ",EmpData[[#This Row],[Full Name]],FIND(" ",EmpData[[#This Row],[Full Name]])+1)-FIND(" ",EmpData[[#This Row],[Full Name]])-1),"No Middle Name")</f>
        <v>No Middle Name</v>
      </c>
      <c r="R4"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MJ</v>
      </c>
      <c r="S4" s="196" t="str">
        <f>IF(EmpData[[#This Row],[Salary (USD)]]&lt;75000,"Junior",IF(EmpData[[#This Row],[Salary (USD)]]&lt;=100000,"Mid-level","Senior"))</f>
        <v>Mid-level</v>
      </c>
      <c r="U4" s="243" t="str">
        <f>EmpData[[#This Row],[Employee ID]] &amp; "-" &amp; UPPER(LEFT(EmpData[[#This Row],[Job Title]],3)) &amp; "-" &amp; LEFT(_xlfn.TEXTBEFORE(_xlfn.TEXTAFTER(EmpData[[#This Row],[Office Code]],"-",3),"-"),2)</f>
        <v>EMP003-IT -09</v>
      </c>
      <c r="V4" s="243" t="str" cm="1">
        <f t="array" ref="V4">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No Match</v>
      </c>
      <c r="X4"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MJ-I-17</v>
      </c>
      <c r="Y4" s="246" t="str">
        <f>_xlfn.TEXTBEFORE(_xlfn.TEXTAFTER(EmpData[[#This Row],[Phone Number]],"-"),"-") &amp; "-" &amp; RIGHT(_xlfn.TEXTBEFORE(EmpData[[#This Row],[Phone Number]]," "),4)</f>
        <v>832-0789</v>
      </c>
    </row>
    <row r="5" spans="1:25">
      <c r="A5" s="162" t="str">
        <f>_xlfn.TEXTBEFORE(_xlfn.TEXTAFTER(EmpData[[#This Row],[Office Code]],"-"),"-")</f>
        <v>104</v>
      </c>
      <c r="B5" s="162" t="str">
        <f>_xlfn.TEXTBEFORE(_xlfn.TEXTAFTER(EmpData[[#This Row],[Office Code]],"-",2),"-")</f>
        <v>CA</v>
      </c>
      <c r="C5" s="162" t="str">
        <f>_xlfn.TEXTBEFORE(_xlfn.TEXTAFTER(EmpData[[#This Row],[Office Code]],"-",3),"-")</f>
        <v>18</v>
      </c>
      <c r="D5" s="162" t="str">
        <f>_xlfn.TEXTAFTER(EmpData[[#This Row],[Office Code]],"-",4)</f>
        <v>04</v>
      </c>
      <c r="E5" s="162" t="str">
        <f>LEFT(EmpData[[#This Row],[Full Name]],3) &amp;
 LEFT(EmpData[[#This Row],[Department]],3) &amp;
 RIGHT(EmpData[[#This Row],[Phone Number]],4)</f>
        <v>SarFin401D</v>
      </c>
      <c r="F5" s="162" t="str">
        <f>LEFT(EmpData[[#This Row],[Email]], FIND("@", EmpData[[#This Row],[Email]]) - 1)</f>
        <v>sarah.williams</v>
      </c>
      <c r="G5" s="162" t="str">
        <f>MID(
    EmpData[[#This Row],[Email]],
    FIND("@", EmpData[[#This Row],[Email]]) + 1,
    FIND(".", EmpData[[#This Row],[Email]], FIND("@", EmpData[[#This Row],[Email]]))
        - FIND("@", EmpData[[#This Row],[Email]]) - 1
)</f>
        <v>lax</v>
      </c>
      <c r="I5" s="194" t="str">
        <f>LEFT(EmpData[[#This Row],[Performance Code]], 3)</f>
        <v>EXC</v>
      </c>
      <c r="J5" s="194" t="str">
        <f>RIGHT(EmpData[[#This Row],[Performance Code]], 4)</f>
        <v>2019</v>
      </c>
      <c r="K5" s="194" t="str">
        <f>MID(
    EmpData[[#This Row],[Performance Code]],
    FIND("-", EmpData[[#This Row],[Performance Code]]) + 1,
    FIND("-", EmpData[[#This Row],[Performance Code]], FIND("-", EmpData[[#This Row],[Performance Code]]) + 1)
        - FIND("-", EmpData[[#This Row],[Performance Code]]) - 1
)</f>
        <v>10</v>
      </c>
      <c r="L5" s="194" t="str">
        <f>MID(
    EmpData[[#This Row],[Address]],
    FIND(" ", EmpData[[#This Row],[Address]]) + 1,
    FIND(",", EmpData[[#This Row],[Address]]) - FIND(" ", EmpData[[#This Row],[Address]]) - 1
)</f>
        <v>Oak Ln</v>
      </c>
      <c r="M5" s="194" t="str">
        <f>TRIM(
    MID(
        EmpData[[#This Row],[Address]],
        FIND(",", EmpData[[#This Row],[Address]]) + 2,
        FIND(",", EmpData[[#This Row],[Address]], FIND(",", EmpData[[#This Row],[Address]]) + 1)
            - FIND(",", EmpData[[#This Row],[Address]]) - 2
    )
)</f>
        <v>Los Angeles</v>
      </c>
      <c r="N5" s="194" t="str">
        <f>TRIM(
    RIGHT(
        EmpData[[#This Row],[Address]],
        LEN(EmpData[[#This Row],[Address]]) -
        FIND(",", EmpData[[#This Row],[Address]], FIND(",", EmpData[[#This Row],[Address]]) + 1)
    )
)</f>
        <v>CA 90012</v>
      </c>
      <c r="P5" s="196">
        <f>YEAR(EmpData[[#This Row],[Hire Date]]) -
 VALUE(_xlfn.TEXTBEFORE(_xlfn.TEXTAFTER(EmpData[[#This Row],[Office Code]],"-",3),"-"))</f>
        <v>1996</v>
      </c>
      <c r="Q5" s="196" t="str">
        <f>IFERROR(MID(EmpData[[#This Row],[Full Name]],FIND(" ",EmpData[[#This Row],[Full Name]])+1,FIND(" ",EmpData[[#This Row],[Full Name]],FIND(" ",EmpData[[#This Row],[Full Name]])+1)-FIND(" ",EmpData[[#This Row],[Full Name]])-1),"No Middle Name")</f>
        <v>Anne</v>
      </c>
      <c r="R5"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SAW</v>
      </c>
      <c r="S5" s="196" t="str">
        <f>IF(EmpData[[#This Row],[Salary (USD)]]&lt;75000,"Junior",IF(EmpData[[#This Row],[Salary (USD)]]&lt;=100000,"Mid-level","Senior"))</f>
        <v>Mid-level</v>
      </c>
      <c r="U5" s="243" t="str">
        <f>EmpData[[#This Row],[Employee ID]] &amp; "-" &amp; UPPER(LEFT(EmpData[[#This Row],[Job Title]],3)) &amp; "-" &amp; LEFT(_xlfn.TEXTBEFORE(_xlfn.TEXTAFTER(EmpData[[#This Row],[Office Code]],"-",3),"-"),2)</f>
        <v>EMP004-FIN-18</v>
      </c>
      <c r="V5" s="243" t="str" cm="1">
        <f t="array" ref="V5">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No Match</v>
      </c>
      <c r="X5"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SAW-F-14</v>
      </c>
      <c r="Y5" s="246" t="str">
        <f>_xlfn.TEXTBEFORE(_xlfn.TEXTAFTER(EmpData[[#This Row],[Phone Number]],"-"),"-") &amp; "-" &amp; RIGHT(_xlfn.TEXTBEFORE(EmpData[[#This Row],[Phone Number]]," "),4)</f>
        <v>310-0912</v>
      </c>
    </row>
    <row r="6" spans="1:25">
      <c r="A6" s="162" t="str">
        <f>_xlfn.TEXTBEFORE(_xlfn.TEXTAFTER(EmpData[[#This Row],[Office Code]],"-"),"-")</f>
        <v>105</v>
      </c>
      <c r="B6" s="162" t="str">
        <f>_xlfn.TEXTBEFORE(_xlfn.TEXTAFTER(EmpData[[#This Row],[Office Code]],"-",2),"-")</f>
        <v>GA</v>
      </c>
      <c r="C6" s="162" t="str">
        <f>_xlfn.TEXTBEFORE(_xlfn.TEXTAFTER(EmpData[[#This Row],[Office Code]],"-",3),"-")</f>
        <v>15</v>
      </c>
      <c r="D6" s="162" t="str">
        <f>_xlfn.TEXTAFTER(EmpData[[#This Row],[Office Code]],"-",4)</f>
        <v>05</v>
      </c>
      <c r="E6" s="162" t="str">
        <f>LEFT(EmpData[[#This Row],[Full Name]],3) &amp;
 LEFT(EmpData[[#This Row],[Department]],3) &amp;
 RIGHT(EmpData[[#This Row],[Phone Number]],4)</f>
        <v>DavOpe501E</v>
      </c>
      <c r="F6" s="162" t="str">
        <f>LEFT(EmpData[[#This Row],[Email]], FIND("@", EmpData[[#This Row],[Email]]) - 1)</f>
        <v>david.brown</v>
      </c>
      <c r="G6" s="162" t="str">
        <f>MID(
    EmpData[[#This Row],[Email]],
    FIND("@", EmpData[[#This Row],[Email]]) + 1,
    FIND(".", EmpData[[#This Row],[Email]], FIND("@", EmpData[[#This Row],[Email]]))
        - FIND("@", EmpData[[#This Row],[Email]]) - 1
)</f>
        <v>atl</v>
      </c>
      <c r="I6" s="194" t="str">
        <f>LEFT(EmpData[[#This Row],[Performance Code]], 3)</f>
        <v>SAT</v>
      </c>
      <c r="J6" s="194" t="str">
        <f>RIGHT(EmpData[[#This Row],[Performance Code]], 4)</f>
        <v>2021</v>
      </c>
      <c r="K6" s="194" t="str">
        <f>MID(
    EmpData[[#This Row],[Performance Code]],
    FIND("-", EmpData[[#This Row],[Performance Code]]) + 1,
    FIND("-", EmpData[[#This Row],[Performance Code]], FIND("-", EmpData[[#This Row],[Performance Code]]) + 1)
        - FIND("-", EmpData[[#This Row],[Performance Code]]) - 1
)</f>
        <v>7</v>
      </c>
      <c r="L6" s="194" t="str">
        <f>MID(
    EmpData[[#This Row],[Address]],
    FIND(" ", EmpData[[#This Row],[Address]]) + 1,
    FIND(",", EmpData[[#This Row],[Address]]) - FIND(" ", EmpData[[#This Row],[Address]]) - 1
)</f>
        <v>Cedar Rd</v>
      </c>
      <c r="M6" s="194" t="str">
        <f>TRIM(
    MID(
        EmpData[[#This Row],[Address]],
        FIND(",", EmpData[[#This Row],[Address]]) + 2,
        FIND(",", EmpData[[#This Row],[Address]], FIND(",", EmpData[[#This Row],[Address]]) + 1)
            - FIND(",", EmpData[[#This Row],[Address]]) - 2
    )
)</f>
        <v>Atlanta</v>
      </c>
      <c r="N6" s="194" t="str">
        <f>TRIM(
    RIGHT(
        EmpData[[#This Row],[Address]],
        LEN(EmpData[[#This Row],[Address]]) -
        FIND(",", EmpData[[#This Row],[Address]], FIND(",", EmpData[[#This Row],[Address]]) + 1)
    )
)</f>
        <v>GA 30303</v>
      </c>
      <c r="P6" s="196">
        <f>YEAR(EmpData[[#This Row],[Hire Date]]) -
 VALUE(_xlfn.TEXTBEFORE(_xlfn.TEXTAFTER(EmpData[[#This Row],[Office Code]],"-",3),"-"))</f>
        <v>2003</v>
      </c>
      <c r="Q6" s="196" t="str">
        <f>IFERROR(MID(EmpData[[#This Row],[Full Name]],FIND(" ",EmpData[[#This Row],[Full Name]])+1,FIND(" ",EmpData[[#This Row],[Full Name]],FIND(" ",EmpData[[#This Row],[Full Name]])+1)-FIND(" ",EmpData[[#This Row],[Full Name]])-1),"No Middle Name")</f>
        <v>Edward</v>
      </c>
      <c r="R6"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DEB</v>
      </c>
      <c r="S6" s="196" t="str">
        <f>IF(EmpData[[#This Row],[Salary (USD)]]&lt;75000,"Junior",IF(EmpData[[#This Row],[Salary (USD)]]&lt;=100000,"Mid-level","Senior"))</f>
        <v>Junior</v>
      </c>
      <c r="U6" s="243" t="str">
        <f>EmpData[[#This Row],[Employee ID]] &amp; "-" &amp; UPPER(LEFT(EmpData[[#This Row],[Job Title]],3)) &amp; "-" &amp; LEFT(_xlfn.TEXTBEFORE(_xlfn.TEXTAFTER(EmpData[[#This Row],[Office Code]],"-",3),"-"),2)</f>
        <v>EMP005-OPE-15</v>
      </c>
      <c r="V6" s="243" t="str" cm="1">
        <f t="array" ref="V6">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Match</v>
      </c>
      <c r="X6"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DEB-O-18</v>
      </c>
      <c r="Y6" s="246" t="str">
        <f>_xlfn.TEXTBEFORE(_xlfn.TEXTAFTER(EmpData[[#This Row],[Phone Number]],"-"),"-") &amp; "-" &amp; RIGHT(_xlfn.TEXTBEFORE(EmpData[[#This Row],[Phone Number]]," "),4)</f>
        <v>404-1213</v>
      </c>
    </row>
    <row r="7" spans="1:25">
      <c r="A7" s="162" t="str">
        <f>_xlfn.TEXTBEFORE(_xlfn.TEXTAFTER(EmpData[[#This Row],[Office Code]],"-"),"-")</f>
        <v>106</v>
      </c>
      <c r="B7" s="162" t="str">
        <f>_xlfn.TEXTBEFORE(_xlfn.TEXTAFTER(EmpData[[#This Row],[Office Code]],"-",2),"-")</f>
        <v>TX</v>
      </c>
      <c r="C7" s="162" t="str">
        <f>_xlfn.TEXTBEFORE(_xlfn.TEXTAFTER(EmpData[[#This Row],[Office Code]],"-",3),"-")</f>
        <v>07</v>
      </c>
      <c r="D7" s="162" t="str">
        <f>_xlfn.TEXTAFTER(EmpData[[#This Row],[Office Code]],"-",4)</f>
        <v>06</v>
      </c>
      <c r="E7" s="162" t="str">
        <f>LEFT(EmpData[[#This Row],[Full Name]],3) &amp;
 LEFT(EmpData[[#This Row],[Department]],3) &amp;
 RIGHT(EmpData[[#This Row],[Phone Number]],4)</f>
        <v>LinSal601F</v>
      </c>
      <c r="F7" s="162" t="str">
        <f>LEFT(EmpData[[#This Row],[Email]], FIND("@", EmpData[[#This Row],[Email]]) - 1)</f>
        <v>linda.martinez</v>
      </c>
      <c r="G7" s="162" t="str">
        <f>MID(
    EmpData[[#This Row],[Email]],
    FIND("@", EmpData[[#This Row],[Email]]) + 1,
    FIND(".", EmpData[[#This Row],[Email]], FIND("@", EmpData[[#This Row],[Email]]))
        - FIND("@", EmpData[[#This Row],[Email]]) - 1
)</f>
        <v>dfw</v>
      </c>
      <c r="I7" s="194" t="str">
        <f>LEFT(EmpData[[#This Row],[Performance Code]], 3)</f>
        <v>EXC</v>
      </c>
      <c r="J7" s="194" t="str">
        <f>RIGHT(EmpData[[#This Row],[Performance Code]], 4)</f>
        <v>2022</v>
      </c>
      <c r="K7" s="194" t="str">
        <f>MID(
    EmpData[[#This Row],[Performance Code]],
    FIND("-", EmpData[[#This Row],[Performance Code]]) + 1,
    FIND("-", EmpData[[#This Row],[Performance Code]], FIND("-", EmpData[[#This Row],[Performance Code]]) + 1)
        - FIND("-", EmpData[[#This Row],[Performance Code]]) - 1
)</f>
        <v>10</v>
      </c>
      <c r="L7" s="194" t="str">
        <f>MID(
    EmpData[[#This Row],[Address]],
    FIND(" ", EmpData[[#This Row],[Address]]) + 1,
    FIND(",", EmpData[[#This Row],[Address]]) - FIND(" ", EmpData[[#This Row],[Address]]) - 1
)</f>
        <v>Spruce St</v>
      </c>
      <c r="M7" s="194" t="str">
        <f>TRIM(
    MID(
        EmpData[[#This Row],[Address]],
        FIND(",", EmpData[[#This Row],[Address]]) + 2,
        FIND(",", EmpData[[#This Row],[Address]], FIND(",", EmpData[[#This Row],[Address]]) + 1)
            - FIND(",", EmpData[[#This Row],[Address]]) - 2
    )
)</f>
        <v>Dallas</v>
      </c>
      <c r="N7" s="194" t="str">
        <f>TRIM(
    RIGHT(
        EmpData[[#This Row],[Address]],
        LEN(EmpData[[#This Row],[Address]]) -
        FIND(",", EmpData[[#This Row],[Address]], FIND(",", EmpData[[#This Row],[Address]]) + 1)
    )
)</f>
        <v>TX 75201</v>
      </c>
      <c r="P7" s="196">
        <f>YEAR(EmpData[[#This Row],[Hire Date]]) -
 VALUE(_xlfn.TEXTBEFORE(_xlfn.TEXTAFTER(EmpData[[#This Row],[Office Code]],"-",3),"-"))</f>
        <v>2013</v>
      </c>
      <c r="Q7" s="196" t="str">
        <f>IFERROR(MID(EmpData[[#This Row],[Full Name]],FIND(" ",EmpData[[#This Row],[Full Name]])+1,FIND(" ",EmpData[[#This Row],[Full Name]],FIND(" ",EmpData[[#This Row],[Full Name]])+1)-FIND(" ",EmpData[[#This Row],[Full Name]])-1),"No Middle Name")</f>
        <v>Rose</v>
      </c>
      <c r="R7"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LRM</v>
      </c>
      <c r="S7" s="196" t="str">
        <f>IF(EmpData[[#This Row],[Salary (USD)]]&lt;75000,"Junior",IF(EmpData[[#This Row],[Salary (USD)]]&lt;=100000,"Mid-level","Senior"))</f>
        <v>Mid-level</v>
      </c>
      <c r="U7" s="243" t="str">
        <f>EmpData[[#This Row],[Employee ID]] &amp; "-" &amp; UPPER(LEFT(EmpData[[#This Row],[Job Title]],3)) &amp; "-" &amp; LEFT(_xlfn.TEXTBEFORE(_xlfn.TEXTAFTER(EmpData[[#This Row],[Office Code]],"-",3),"-"),2)</f>
        <v>EMP006-REG-07</v>
      </c>
      <c r="V7" s="243" t="str" cm="1">
        <f t="array" ref="V7">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No Match</v>
      </c>
      <c r="X7"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LRM-S-20</v>
      </c>
      <c r="Y7" s="246" t="str">
        <f>_xlfn.TEXTBEFORE(_xlfn.TEXTAFTER(EmpData[[#This Row],[Phone Number]],"-"),"-") &amp; "-" &amp; RIGHT(_xlfn.TEXTBEFORE(EmpData[[#This Row],[Phone Number]]," "),4)</f>
        <v>214-1415</v>
      </c>
    </row>
    <row r="8" spans="1:25">
      <c r="A8" s="162" t="str">
        <f>_xlfn.TEXTBEFORE(_xlfn.TEXTAFTER(EmpData[[#This Row],[Office Code]],"-"),"-")</f>
        <v>107</v>
      </c>
      <c r="B8" s="162" t="str">
        <f>_xlfn.TEXTBEFORE(_xlfn.TEXTAFTER(EmpData[[#This Row],[Office Code]],"-",2),"-")</f>
        <v>WA</v>
      </c>
      <c r="C8" s="162" t="str">
        <f>_xlfn.TEXTBEFORE(_xlfn.TEXTAFTER(EmpData[[#This Row],[Office Code]],"-",3),"-")</f>
        <v>11</v>
      </c>
      <c r="D8" s="162" t="str">
        <f>_xlfn.TEXTAFTER(EmpData[[#This Row],[Office Code]],"-",4)</f>
        <v>07</v>
      </c>
      <c r="E8" s="162" t="str">
        <f>LEFT(EmpData[[#This Row],[Full Name]],3) &amp;
 LEFT(EmpData[[#This Row],[Department]],3) &amp;
 RIGHT(EmpData[[#This Row],[Phone Number]],4)</f>
        <v>JamAdm701G</v>
      </c>
      <c r="F8" s="162" t="str">
        <f>LEFT(EmpData[[#This Row],[Email]], FIND("@", EmpData[[#This Row],[Email]]) - 1)</f>
        <v>james.wilson</v>
      </c>
      <c r="G8" s="162" t="str">
        <f>MID(
    EmpData[[#This Row],[Email]],
    FIND("@", EmpData[[#This Row],[Email]]) + 1,
    FIND(".", EmpData[[#This Row],[Email]], FIND("@", EmpData[[#This Row],[Email]]))
        - FIND("@", EmpData[[#This Row],[Email]]) - 1
)</f>
        <v>sea</v>
      </c>
      <c r="I8" s="194" t="str">
        <f>LEFT(EmpData[[#This Row],[Performance Code]], 3)</f>
        <v>SAT</v>
      </c>
      <c r="J8" s="194" t="str">
        <f>RIGHT(EmpData[[#This Row],[Performance Code]], 4)</f>
        <v>2020</v>
      </c>
      <c r="K8" s="194" t="str">
        <f>MID(
    EmpData[[#This Row],[Performance Code]],
    FIND("-", EmpData[[#This Row],[Performance Code]]) + 1,
    FIND("-", EmpData[[#This Row],[Performance Code]], FIND("-", EmpData[[#This Row],[Performance Code]]) + 1)
        - FIND("-", EmpData[[#This Row],[Performance Code]]) - 1
)</f>
        <v>7</v>
      </c>
      <c r="L8" s="194" t="str">
        <f>MID(
    EmpData[[#This Row],[Address]],
    FIND(" ", EmpData[[#This Row],[Address]]) + 1,
    FIND(",", EmpData[[#This Row],[Address]]) - FIND(" ", EmpData[[#This Row],[Address]]) - 1
)</f>
        <v>Birch Rd</v>
      </c>
      <c r="M8" s="194" t="str">
        <f>TRIM(
    MID(
        EmpData[[#This Row],[Address]],
        FIND(",", EmpData[[#This Row],[Address]]) + 2,
        FIND(",", EmpData[[#This Row],[Address]], FIND(",", EmpData[[#This Row],[Address]]) + 1)
            - FIND(",", EmpData[[#This Row],[Address]]) - 2
    )
)</f>
        <v>Seattle</v>
      </c>
      <c r="N8" s="194" t="str">
        <f>TRIM(
    RIGHT(
        EmpData[[#This Row],[Address]],
        LEN(EmpData[[#This Row],[Address]]) -
        FIND(",", EmpData[[#This Row],[Address]], FIND(",", EmpData[[#This Row],[Address]]) + 1)
    )
)</f>
        <v>WA 98101</v>
      </c>
      <c r="P8" s="196">
        <f>YEAR(EmpData[[#This Row],[Hire Date]]) -
 VALUE(_xlfn.TEXTBEFORE(_xlfn.TEXTAFTER(EmpData[[#This Row],[Office Code]],"-",3),"-"))</f>
        <v>2002</v>
      </c>
      <c r="Q8" s="196" t="str">
        <f>IFERROR(MID(EmpData[[#This Row],[Full Name]],FIND(" ",EmpData[[#This Row],[Full Name]])+1,FIND(" ",EmpData[[#This Row],[Full Name]],FIND(" ",EmpData[[#This Row],[Full Name]])+1)-FIND(" ",EmpData[[#This Row],[Full Name]])-1),"No Middle Name")</f>
        <v>Charles</v>
      </c>
      <c r="R8"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JCW</v>
      </c>
      <c r="S8" s="196" t="str">
        <f>IF(EmpData[[#This Row],[Salary (USD)]]&lt;75000,"Junior",IF(EmpData[[#This Row],[Salary (USD)]]&lt;=100000,"Mid-level","Senior"))</f>
        <v>Junior</v>
      </c>
      <c r="U8" s="243" t="str">
        <f>EmpData[[#This Row],[Employee ID]] &amp; "-" &amp; UPPER(LEFT(EmpData[[#This Row],[Job Title]],3)) &amp; "-" &amp; LEFT(_xlfn.TEXTBEFORE(_xlfn.TEXTAFTER(EmpData[[#This Row],[Office Code]],"-",3),"-"),2)</f>
        <v>EMP007-ADM-11</v>
      </c>
      <c r="V8" s="243" t="str" cm="1">
        <f t="array" ref="V8">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Match</v>
      </c>
      <c r="X8"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JCW-A-13</v>
      </c>
      <c r="Y8" s="246" t="str">
        <f>_xlfn.TEXTBEFORE(_xlfn.TEXTAFTER(EmpData[[#This Row],[Phone Number]],"-"),"-") &amp; "-" &amp; RIGHT(_xlfn.TEXTBEFORE(EmpData[[#This Row],[Phone Number]]," "),4)</f>
        <v>206-1618</v>
      </c>
    </row>
    <row r="9" spans="1:25">
      <c r="A9" s="162" t="str">
        <f>_xlfn.TEXTBEFORE(_xlfn.TEXTAFTER(EmpData[[#This Row],[Office Code]],"-"),"-")</f>
        <v>108</v>
      </c>
      <c r="B9" s="162" t="str">
        <f>_xlfn.TEXTBEFORE(_xlfn.TEXTAFTER(EmpData[[#This Row],[Office Code]],"-",2),"-")</f>
        <v>AZ</v>
      </c>
      <c r="C9" s="162" t="str">
        <f>_xlfn.TEXTBEFORE(_xlfn.TEXTAFTER(EmpData[[#This Row],[Office Code]],"-",3),"-")</f>
        <v>21</v>
      </c>
      <c r="D9" s="162" t="str">
        <f>_xlfn.TEXTAFTER(EmpData[[#This Row],[Office Code]],"-",4)</f>
        <v>08</v>
      </c>
      <c r="E9" s="162" t="str">
        <f>LEFT(EmpData[[#This Row],[Full Name]],3) &amp;
 LEFT(EmpData[[#This Row],[Department]],3) &amp;
 RIGHT(EmpData[[#This Row],[Phone Number]],4)</f>
        <v>BarLog801H</v>
      </c>
      <c r="F9" s="162" t="str">
        <f>LEFT(EmpData[[#This Row],[Email]], FIND("@", EmpData[[#This Row],[Email]]) - 1)</f>
        <v>barbara.garcia</v>
      </c>
      <c r="G9" s="162" t="str">
        <f>MID(
    EmpData[[#This Row],[Email]],
    FIND("@", EmpData[[#This Row],[Email]]) + 1,
    FIND(".", EmpData[[#This Row],[Email]], FIND("@", EmpData[[#This Row],[Email]]))
        - FIND("@", EmpData[[#This Row],[Email]]) - 1
)</f>
        <v>phx</v>
      </c>
      <c r="I9" s="194" t="str">
        <f>LEFT(EmpData[[#This Row],[Performance Code]], 3)</f>
        <v>UNS</v>
      </c>
      <c r="J9" s="194" t="str">
        <f>RIGHT(EmpData[[#This Row],[Performance Code]], 4)</f>
        <v>2021</v>
      </c>
      <c r="K9" s="194" t="str">
        <f>MID(
    EmpData[[#This Row],[Performance Code]],
    FIND("-", EmpData[[#This Row],[Performance Code]]) + 1,
    FIND("-", EmpData[[#This Row],[Performance Code]], FIND("-", EmpData[[#This Row],[Performance Code]]) + 1)
        - FIND("-", EmpData[[#This Row],[Performance Code]]) - 1
)</f>
        <v>5</v>
      </c>
      <c r="L9" s="194" t="str">
        <f>MID(
    EmpData[[#This Row],[Address]],
    FIND(" ", EmpData[[#This Row],[Address]]) + 1,
    FIND(",", EmpData[[#This Row],[Address]]) - FIND(" ", EmpData[[#This Row],[Address]]) - 1
)</f>
        <v>Aspen Ct</v>
      </c>
      <c r="M9" s="194" t="str">
        <f>TRIM(
    MID(
        EmpData[[#This Row],[Address]],
        FIND(",", EmpData[[#This Row],[Address]]) + 2,
        FIND(",", EmpData[[#This Row],[Address]], FIND(",", EmpData[[#This Row],[Address]]) + 1)
            - FIND(",", EmpData[[#This Row],[Address]]) - 2
    )
)</f>
        <v>Phoenix</v>
      </c>
      <c r="N9" s="194" t="str">
        <f>TRIM(
    RIGHT(
        EmpData[[#This Row],[Address]],
        LEN(EmpData[[#This Row],[Address]]) -
        FIND(",", EmpData[[#This Row],[Address]], FIND(",", EmpData[[#This Row],[Address]]) + 1)
    )
)</f>
        <v>AZ 85001</v>
      </c>
      <c r="P9" s="196">
        <f>YEAR(EmpData[[#This Row],[Hire Date]]) -
 VALUE(_xlfn.TEXTBEFORE(_xlfn.TEXTAFTER(EmpData[[#This Row],[Office Code]],"-",3),"-"))</f>
        <v>1998</v>
      </c>
      <c r="Q9" s="196" t="str">
        <f>IFERROR(MID(EmpData[[#This Row],[Full Name]],FIND(" ",EmpData[[#This Row],[Full Name]])+1,FIND(" ",EmpData[[#This Row],[Full Name]],FIND(" ",EmpData[[#This Row],[Full Name]])+1)-FIND(" ",EmpData[[#This Row],[Full Name]])-1),"No Middle Name")</f>
        <v>No Middle Name</v>
      </c>
      <c r="R9"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BG</v>
      </c>
      <c r="S9" s="196" t="str">
        <f>IF(EmpData[[#This Row],[Salary (USD)]]&lt;75000,"Junior",IF(EmpData[[#This Row],[Salary (USD)]]&lt;=100000,"Mid-level","Senior"))</f>
        <v>Junior</v>
      </c>
      <c r="U9" s="243" t="str">
        <f>EmpData[[#This Row],[Employee ID]] &amp; "-" &amp; UPPER(LEFT(EmpData[[#This Row],[Job Title]],3)) &amp; "-" &amp; LEFT(_xlfn.TEXTBEFORE(_xlfn.TEXTAFTER(EmpData[[#This Row],[Office Code]],"-",3),"-"),2)</f>
        <v>EMP008-LOG-21</v>
      </c>
      <c r="V9" s="243" t="str" cm="1">
        <f t="array" ref="V9">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Match</v>
      </c>
      <c r="X9"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BG-L-19</v>
      </c>
      <c r="Y9" s="246" t="str">
        <f>_xlfn.TEXTBEFORE(_xlfn.TEXTAFTER(EmpData[[#This Row],[Phone Number]],"-"),"-") &amp; "-" &amp; RIGHT(_xlfn.TEXTBEFORE(EmpData[[#This Row],[Phone Number]]," "),4)</f>
        <v>602-1819</v>
      </c>
    </row>
    <row r="10" spans="1:25">
      <c r="A10" s="162" t="str">
        <f>_xlfn.TEXTBEFORE(_xlfn.TEXTAFTER(EmpData[[#This Row],[Office Code]],"-"),"-")</f>
        <v>109</v>
      </c>
      <c r="B10" s="162" t="str">
        <f>_xlfn.TEXTBEFORE(_xlfn.TEXTAFTER(EmpData[[#This Row],[Office Code]],"-",2),"-")</f>
        <v>MA</v>
      </c>
      <c r="C10" s="162" t="str">
        <f>_xlfn.TEXTBEFORE(_xlfn.TEXTAFTER(EmpData[[#This Row],[Office Code]],"-",3),"-")</f>
        <v>10</v>
      </c>
      <c r="D10" s="162" t="str">
        <f>_xlfn.TEXTAFTER(EmpData[[#This Row],[Office Code]],"-",4)</f>
        <v>09</v>
      </c>
      <c r="E10" s="162" t="str">
        <f>LEFT(EmpData[[#This Row],[Full Name]],3) &amp;
 LEFT(EmpData[[#This Row],[Department]],3) &amp;
 RIGHT(EmpData[[#This Row],[Phone Number]],4)</f>
        <v>RobIT 901I</v>
      </c>
      <c r="F10" s="162" t="str">
        <f>LEFT(EmpData[[#This Row],[Email]], FIND("@", EmpData[[#This Row],[Email]]) - 1)</f>
        <v>robert.miller</v>
      </c>
      <c r="G10" s="162" t="str">
        <f>MID(
    EmpData[[#This Row],[Email]],
    FIND("@", EmpData[[#This Row],[Email]]) + 1,
    FIND(".", EmpData[[#This Row],[Email]], FIND("@", EmpData[[#This Row],[Email]]))
        - FIND("@", EmpData[[#This Row],[Email]]) - 1
)</f>
        <v>bos</v>
      </c>
      <c r="I10" s="194" t="str">
        <f>LEFT(EmpData[[#This Row],[Performance Code]], 3)</f>
        <v>EXC</v>
      </c>
      <c r="J10" s="194" t="str">
        <f>RIGHT(EmpData[[#This Row],[Performance Code]], 4)</f>
        <v>2020</v>
      </c>
      <c r="K10" s="194" t="str">
        <f>MID(
    EmpData[[#This Row],[Performance Code]],
    FIND("-", EmpData[[#This Row],[Performance Code]]) + 1,
    FIND("-", EmpData[[#This Row],[Performance Code]], FIND("-", EmpData[[#This Row],[Performance Code]]) + 1)
        - FIND("-", EmpData[[#This Row],[Performance Code]]) - 1
)</f>
        <v>10</v>
      </c>
      <c r="L10" s="194" t="str">
        <f>MID(
    EmpData[[#This Row],[Address]],
    FIND(" ", EmpData[[#This Row],[Address]]) + 1,
    FIND(",", EmpData[[#This Row],[Address]]) - FIND(" ", EmpData[[#This Row],[Address]]) - 1
)</f>
        <v>Oakwood Blvd</v>
      </c>
      <c r="M10" s="194" t="str">
        <f>TRIM(
    MID(
        EmpData[[#This Row],[Address]],
        FIND(",", EmpData[[#This Row],[Address]]) + 2,
        FIND(",", EmpData[[#This Row],[Address]], FIND(",", EmpData[[#This Row],[Address]]) + 1)
            - FIND(",", EmpData[[#This Row],[Address]]) - 2
    )
)</f>
        <v>Boston</v>
      </c>
      <c r="N10" s="194" t="str">
        <f>TRIM(
    RIGHT(
        EmpData[[#This Row],[Address]],
        LEN(EmpData[[#This Row],[Address]]) -
        FIND(",", EmpData[[#This Row],[Address]], FIND(",", EmpData[[#This Row],[Address]]) + 1)
    )
)</f>
        <v>MA 02101</v>
      </c>
      <c r="P10" s="196">
        <f>YEAR(EmpData[[#This Row],[Hire Date]]) -
 VALUE(_xlfn.TEXTBEFORE(_xlfn.TEXTAFTER(EmpData[[#This Row],[Office Code]],"-",3),"-"))</f>
        <v>2002</v>
      </c>
      <c r="Q10" s="196" t="str">
        <f>IFERROR(MID(EmpData[[#This Row],[Full Name]],FIND(" ",EmpData[[#This Row],[Full Name]])+1,FIND(" ",EmpData[[#This Row],[Full Name]],FIND(" ",EmpData[[#This Row],[Full Name]])+1)-FIND(" ",EmpData[[#This Row],[Full Name]])-1),"No Middle Name")</f>
        <v>No Middle Name</v>
      </c>
      <c r="R10"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RM</v>
      </c>
      <c r="S10" s="196" t="str">
        <f>IF(EmpData[[#This Row],[Salary (USD)]]&lt;75000,"Junior",IF(EmpData[[#This Row],[Salary (USD)]]&lt;=100000,"Mid-level","Senior"))</f>
        <v>Senior</v>
      </c>
      <c r="U10" s="243" t="str">
        <f>EmpData[[#This Row],[Employee ID]] &amp; "-" &amp; UPPER(LEFT(EmpData[[#This Row],[Job Title]],3)) &amp; "-" &amp; LEFT(_xlfn.TEXTBEFORE(_xlfn.TEXTAFTER(EmpData[[#This Row],[Office Code]],"-",3),"-"),2)</f>
        <v>EMP009-IT -10</v>
      </c>
      <c r="V10" s="243" t="str" cm="1">
        <f t="array" ref="V10">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Match</v>
      </c>
      <c r="X10"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RM-I-12</v>
      </c>
      <c r="Y10" s="246" t="str">
        <f>_xlfn.TEXTBEFORE(_xlfn.TEXTAFTER(EmpData[[#This Row],[Phone Number]],"-"),"-") &amp; "-" &amp; RIGHT(_xlfn.TEXTBEFORE(EmpData[[#This Row],[Phone Number]]," "),4)</f>
        <v>617-2021</v>
      </c>
    </row>
    <row r="11" spans="1:25">
      <c r="A11" s="162" t="str">
        <f>_xlfn.TEXTBEFORE(_xlfn.TEXTAFTER(EmpData[[#This Row],[Office Code]],"-"),"-")</f>
        <v>110</v>
      </c>
      <c r="B11" s="162" t="str">
        <f>_xlfn.TEXTBEFORE(_xlfn.TEXTAFTER(EmpData[[#This Row],[Office Code]],"-",2),"-")</f>
        <v>IL</v>
      </c>
      <c r="C11" s="162" t="str">
        <f>_xlfn.TEXTBEFORE(_xlfn.TEXTAFTER(EmpData[[#This Row],[Office Code]],"-",3),"-")</f>
        <v>05</v>
      </c>
      <c r="D11" s="162" t="str">
        <f>_xlfn.TEXTAFTER(EmpData[[#This Row],[Office Code]],"-",4)</f>
        <v>10</v>
      </c>
      <c r="E11" s="162" t="str">
        <f>LEFT(EmpData[[#This Row],[Full Name]],3) &amp;
 LEFT(EmpData[[#This Row],[Department]],3) &amp;
 RIGHT(EmpData[[#This Row],[Phone Number]],4)</f>
        <v>PatLeg101J</v>
      </c>
      <c r="F11" s="162" t="str">
        <f>LEFT(EmpData[[#This Row],[Email]], FIND("@", EmpData[[#This Row],[Email]]) - 1)</f>
        <v>patricia.anderson</v>
      </c>
      <c r="G11" s="162" t="str">
        <f>MID(
    EmpData[[#This Row],[Email]],
    FIND("@", EmpData[[#This Row],[Email]]) + 1,
    FIND(".", EmpData[[#This Row],[Email]], FIND("@", EmpData[[#This Row],[Email]]))
        - FIND("@", EmpData[[#This Row],[Email]]) - 1
)</f>
        <v>chi</v>
      </c>
      <c r="I11" s="194" t="str">
        <f>LEFT(EmpData[[#This Row],[Performance Code]], 3)</f>
        <v>EXC</v>
      </c>
      <c r="J11" s="194" t="str">
        <f>RIGHT(EmpData[[#This Row],[Performance Code]], 4)</f>
        <v>2022</v>
      </c>
      <c r="K11" s="194" t="str">
        <f>MID(
    EmpData[[#This Row],[Performance Code]],
    FIND("-", EmpData[[#This Row],[Performance Code]]) + 1,
    FIND("-", EmpData[[#This Row],[Performance Code]], FIND("-", EmpData[[#This Row],[Performance Code]]) + 1)
        - FIND("-", EmpData[[#This Row],[Performance Code]]) - 1
)</f>
        <v>9</v>
      </c>
      <c r="L11" s="194" t="str">
        <f>MID(
    EmpData[[#This Row],[Address]],
    FIND(" ", EmpData[[#This Row],[Address]]) + 1,
    FIND(",", EmpData[[#This Row],[Address]]) - FIND(" ", EmpData[[#This Row],[Address]]) - 1
)</f>
        <v>Poplar Ave</v>
      </c>
      <c r="M11" s="194" t="str">
        <f>TRIM(
    MID(
        EmpData[[#This Row],[Address]],
        FIND(",", EmpData[[#This Row],[Address]]) + 2,
        FIND(",", EmpData[[#This Row],[Address]], FIND(",", EmpData[[#This Row],[Address]]) + 1)
            - FIND(",", EmpData[[#This Row],[Address]]) - 2
    )
)</f>
        <v>Chicago</v>
      </c>
      <c r="N11" s="194" t="str">
        <f>TRIM(
    RIGHT(
        EmpData[[#This Row],[Address]],
        LEN(EmpData[[#This Row],[Address]]) -
        FIND(",", EmpData[[#This Row],[Address]], FIND(",", EmpData[[#This Row],[Address]]) + 1)
    )
)</f>
        <v>IL 60601</v>
      </c>
      <c r="P11" s="196">
        <f>YEAR(EmpData[[#This Row],[Hire Date]]) -
 VALUE(_xlfn.TEXTBEFORE(_xlfn.TEXTAFTER(EmpData[[#This Row],[Office Code]],"-",3),"-"))</f>
        <v>2016</v>
      </c>
      <c r="Q11" s="196" t="str">
        <f>IFERROR(MID(EmpData[[#This Row],[Full Name]],FIND(" ",EmpData[[#This Row],[Full Name]])+1,FIND(" ",EmpData[[#This Row],[Full Name]],FIND(" ",EmpData[[#This Row],[Full Name]])+1)-FIND(" ",EmpData[[#This Row],[Full Name]])-1),"No Middle Name")</f>
        <v>No Middle Name</v>
      </c>
      <c r="R11"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PA</v>
      </c>
      <c r="S11" s="196" t="str">
        <f>IF(EmpData[[#This Row],[Salary (USD)]]&lt;75000,"Junior",IF(EmpData[[#This Row],[Salary (USD)]]&lt;=100000,"Mid-level","Senior"))</f>
        <v>Senior</v>
      </c>
      <c r="U11" s="243" t="str">
        <f>EmpData[[#This Row],[Employee ID]] &amp; "-" &amp; UPPER(LEFT(EmpData[[#This Row],[Job Title]],3)) &amp; "-" &amp; LEFT(_xlfn.TEXTBEFORE(_xlfn.TEXTAFTER(EmpData[[#This Row],[Office Code]],"-",3),"-"),2)</f>
        <v>EMP010-LEG-05</v>
      </c>
      <c r="V11" s="243" t="str" cm="1">
        <f t="array" ref="V11">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Match</v>
      </c>
      <c r="X11"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PA-L-21</v>
      </c>
      <c r="Y11" s="246" t="str">
        <f>_xlfn.TEXTBEFORE(_xlfn.TEXTAFTER(EmpData[[#This Row],[Phone Number]],"-"),"-") &amp; "-" &amp; RIGHT(_xlfn.TEXTBEFORE(EmpData[[#This Row],[Phone Number]]," "),4)</f>
        <v>312-2223</v>
      </c>
    </row>
    <row r="12" spans="1:25">
      <c r="A12" s="162" t="str">
        <f>_xlfn.TEXTBEFORE(_xlfn.TEXTAFTER(EmpData[[#This Row],[Office Code]],"-"),"-")</f>
        <v>111</v>
      </c>
      <c r="B12" s="162" t="str">
        <f>_xlfn.TEXTBEFORE(_xlfn.TEXTAFTER(EmpData[[#This Row],[Office Code]],"-",2),"-")</f>
        <v>FL</v>
      </c>
      <c r="C12" s="162" t="str">
        <f>_xlfn.TEXTBEFORE(_xlfn.TEXTAFTER(EmpData[[#This Row],[Office Code]],"-",3),"-")</f>
        <v>03</v>
      </c>
      <c r="D12" s="162" t="str">
        <f>_xlfn.TEXTAFTER(EmpData[[#This Row],[Office Code]],"-",4)</f>
        <v>11</v>
      </c>
      <c r="E12" s="162" t="str">
        <f>LEFT(EmpData[[#This Row],[Full Name]],3) &amp;
 LEFT(EmpData[[#This Row],[Department]],3) &amp;
 RIGHT(EmpData[[#This Row],[Phone Number]],4)</f>
        <v>ChrPro111K</v>
      </c>
      <c r="F12" s="162" t="str">
        <f>LEFT(EmpData[[#This Row],[Email]], FIND("@", EmpData[[#This Row],[Email]]) - 1)</f>
        <v>christopher.scott</v>
      </c>
      <c r="G12" s="162" t="str">
        <f>MID(
    EmpData[[#This Row],[Email]],
    FIND("@", EmpData[[#This Row],[Email]]) + 1,
    FIND(".", EmpData[[#This Row],[Email]], FIND("@", EmpData[[#This Row],[Email]]))
        - FIND("@", EmpData[[#This Row],[Email]]) - 1
)</f>
        <v>mia</v>
      </c>
      <c r="I12" s="194" t="str">
        <f>LEFT(EmpData[[#This Row],[Performance Code]], 3)</f>
        <v>SAT</v>
      </c>
      <c r="J12" s="194" t="str">
        <f>RIGHT(EmpData[[#This Row],[Performance Code]], 4)</f>
        <v>2021</v>
      </c>
      <c r="K12" s="194" t="str">
        <f>MID(
    EmpData[[#This Row],[Performance Code]],
    FIND("-", EmpData[[#This Row],[Performance Code]]) + 1,
    FIND("-", EmpData[[#This Row],[Performance Code]], FIND("-", EmpData[[#This Row],[Performance Code]]) + 1)
        - FIND("-", EmpData[[#This Row],[Performance Code]]) - 1
)</f>
        <v>8</v>
      </c>
      <c r="L12" s="194" t="str">
        <f>MID(
    EmpData[[#This Row],[Address]],
    FIND(" ", EmpData[[#This Row],[Address]]) + 1,
    FIND(",", EmpData[[#This Row],[Address]]) - FIND(" ", EmpData[[#This Row],[Address]]) - 1
)</f>
        <v>Willow Dr</v>
      </c>
      <c r="M12" s="194" t="str">
        <f>TRIM(
    MID(
        EmpData[[#This Row],[Address]],
        FIND(",", EmpData[[#This Row],[Address]]) + 2,
        FIND(",", EmpData[[#This Row],[Address]], FIND(",", EmpData[[#This Row],[Address]]) + 1)
            - FIND(",", EmpData[[#This Row],[Address]]) - 2
    )
)</f>
        <v>Miami</v>
      </c>
      <c r="N12" s="194" t="str">
        <f>TRIM(
    RIGHT(
        EmpData[[#This Row],[Address]],
        LEN(EmpData[[#This Row],[Address]]) -
        FIND(",", EmpData[[#This Row],[Address]], FIND(",", EmpData[[#This Row],[Address]]) + 1)
    )
)</f>
        <v>FL 33101</v>
      </c>
      <c r="P12" s="196">
        <f>YEAR(EmpData[[#This Row],[Hire Date]]) -
 VALUE(_xlfn.TEXTBEFORE(_xlfn.TEXTAFTER(EmpData[[#This Row],[Office Code]],"-",3),"-"))</f>
        <v>2013</v>
      </c>
      <c r="Q12" s="196" t="str">
        <f>IFERROR(MID(EmpData[[#This Row],[Full Name]],FIND(" ",EmpData[[#This Row],[Full Name]])+1,FIND(" ",EmpData[[#This Row],[Full Name]],FIND(" ",EmpData[[#This Row],[Full Name]])+1)-FIND(" ",EmpData[[#This Row],[Full Name]])-1),"No Middle Name")</f>
        <v>Lee</v>
      </c>
      <c r="R12"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CLS</v>
      </c>
      <c r="S12" s="196" t="str">
        <f>IF(EmpData[[#This Row],[Salary (USD)]]&lt;75000,"Junior",IF(EmpData[[#This Row],[Salary (USD)]]&lt;=100000,"Mid-level","Senior"))</f>
        <v>Mid-level</v>
      </c>
      <c r="U12" s="243" t="str">
        <f>EmpData[[#This Row],[Employee ID]] &amp; "-" &amp; UPPER(LEFT(EmpData[[#This Row],[Job Title]],3)) &amp; "-" &amp; LEFT(_xlfn.TEXTBEFORE(_xlfn.TEXTAFTER(EmpData[[#This Row],[Office Code]],"-",3),"-"),2)</f>
        <v>EMP011-SEN-03</v>
      </c>
      <c r="V12" s="243" t="str" cm="1">
        <f t="array" ref="V12">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Match</v>
      </c>
      <c r="X12"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CLS-P-16</v>
      </c>
      <c r="Y12" s="246" t="str">
        <f>_xlfn.TEXTBEFORE(_xlfn.TEXTAFTER(EmpData[[#This Row],[Phone Number]],"-"),"-") &amp; "-" &amp; RIGHT(_xlfn.TEXTBEFORE(EmpData[[#This Row],[Phone Number]]," "),4)</f>
        <v>305-2425</v>
      </c>
    </row>
    <row r="13" spans="1:25">
      <c r="A13" s="162" t="str">
        <f>_xlfn.TEXTBEFORE(_xlfn.TEXTAFTER(EmpData[[#This Row],[Office Code]],"-"),"-")</f>
        <v>112</v>
      </c>
      <c r="B13" s="162" t="str">
        <f>_xlfn.TEXTBEFORE(_xlfn.TEXTAFTER(EmpData[[#This Row],[Office Code]],"-",2),"-")</f>
        <v>CO</v>
      </c>
      <c r="C13" s="162" t="str">
        <f>_xlfn.TEXTBEFORE(_xlfn.TEXTAFTER(EmpData[[#This Row],[Office Code]],"-",3),"-")</f>
        <v>07</v>
      </c>
      <c r="D13" s="162" t="str">
        <f>_xlfn.TEXTAFTER(EmpData[[#This Row],[Office Code]],"-",4)</f>
        <v>12</v>
      </c>
      <c r="E13" s="162" t="str">
        <f>LEFT(EmpData[[#This Row],[Full Name]],3) &amp;
 LEFT(EmpData[[#This Row],[Department]],3) &amp;
 RIGHT(EmpData[[#This Row],[Phone Number]],4)</f>
        <v>KarHR 121L</v>
      </c>
      <c r="F13" s="162" t="str">
        <f>LEFT(EmpData[[#This Row],[Email]], FIND("@", EmpData[[#This Row],[Email]]) - 1)</f>
        <v>karen.evans</v>
      </c>
      <c r="G13" s="162" t="str">
        <f>MID(
    EmpData[[#This Row],[Email]],
    FIND("@", EmpData[[#This Row],[Email]]) + 1,
    FIND(".", EmpData[[#This Row],[Email]], FIND("@", EmpData[[#This Row],[Email]]))
        - FIND("@", EmpData[[#This Row],[Email]]) - 1
)</f>
        <v>den</v>
      </c>
      <c r="I13" s="194" t="str">
        <f>LEFT(EmpData[[#This Row],[Performance Code]], 3)</f>
        <v>SAT</v>
      </c>
      <c r="J13" s="194" t="str">
        <f>RIGHT(EmpData[[#This Row],[Performance Code]], 4)</f>
        <v>2020</v>
      </c>
      <c r="K13" s="194" t="str">
        <f>MID(
    EmpData[[#This Row],[Performance Code]],
    FIND("-", EmpData[[#This Row],[Performance Code]]) + 1,
    FIND("-", EmpData[[#This Row],[Performance Code]], FIND("-", EmpData[[#This Row],[Performance Code]]) + 1)
        - FIND("-", EmpData[[#This Row],[Performance Code]]) - 1
)</f>
        <v>7</v>
      </c>
      <c r="L13" s="194" t="str">
        <f>MID(
    EmpData[[#This Row],[Address]],
    FIND(" ", EmpData[[#This Row],[Address]]) + 1,
    FIND(",", EmpData[[#This Row],[Address]]) - FIND(" ", EmpData[[#This Row],[Address]]) - 1
)</f>
        <v>Dogwood Ln</v>
      </c>
      <c r="M13" s="194" t="str">
        <f>TRIM(
    MID(
        EmpData[[#This Row],[Address]],
        FIND(",", EmpData[[#This Row],[Address]]) + 2,
        FIND(",", EmpData[[#This Row],[Address]], FIND(",", EmpData[[#This Row],[Address]]) + 1)
            - FIND(",", EmpData[[#This Row],[Address]]) - 2
    )
)</f>
        <v>Denver</v>
      </c>
      <c r="N13" s="194" t="str">
        <f>TRIM(
    RIGHT(
        EmpData[[#This Row],[Address]],
        LEN(EmpData[[#This Row],[Address]]) -
        FIND(",", EmpData[[#This Row],[Address]], FIND(",", EmpData[[#This Row],[Address]]) + 1)
    )
)</f>
        <v>CO 80201</v>
      </c>
      <c r="P13" s="196">
        <f>YEAR(EmpData[[#This Row],[Hire Date]]) -
 VALUE(_xlfn.TEXTBEFORE(_xlfn.TEXTAFTER(EmpData[[#This Row],[Office Code]],"-",3),"-"))</f>
        <v>2011</v>
      </c>
      <c r="Q13" s="196" t="str">
        <f>IFERROR(MID(EmpData[[#This Row],[Full Name]],FIND(" ",EmpData[[#This Row],[Full Name]])+1,FIND(" ",EmpData[[#This Row],[Full Name]],FIND(" ",EmpData[[#This Row],[Full Name]])+1)-FIND(" ",EmpData[[#This Row],[Full Name]])-1),"No Middle Name")</f>
        <v>Michelle</v>
      </c>
      <c r="R13"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KME</v>
      </c>
      <c r="S13" s="196" t="str">
        <f>IF(EmpData[[#This Row],[Salary (USD)]]&lt;75000,"Junior",IF(EmpData[[#This Row],[Salary (USD)]]&lt;=100000,"Mid-level","Senior"))</f>
        <v>Mid-level</v>
      </c>
      <c r="U13" s="243" t="str">
        <f>EmpData[[#This Row],[Employee ID]] &amp; "-" &amp; UPPER(LEFT(EmpData[[#This Row],[Job Title]],3)) &amp; "-" &amp; LEFT(_xlfn.TEXTBEFORE(_xlfn.TEXTAFTER(EmpData[[#This Row],[Office Code]],"-",3),"-"),2)</f>
        <v>EMP012-TRA-07</v>
      </c>
      <c r="V13" s="243" t="str" cm="1">
        <f t="array" ref="V13">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Match</v>
      </c>
      <c r="X13"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KME-H-18</v>
      </c>
      <c r="Y13" s="246" t="str">
        <f>_xlfn.TEXTBEFORE(_xlfn.TEXTAFTER(EmpData[[#This Row],[Phone Number]],"-"),"-") &amp; "-" &amp; RIGHT(_xlfn.TEXTBEFORE(EmpData[[#This Row],[Phone Number]]," "),4)</f>
        <v>720-2526</v>
      </c>
    </row>
    <row r="14" spans="1:25">
      <c r="A14" s="162" t="str">
        <f>_xlfn.TEXTBEFORE(_xlfn.TEXTAFTER(EmpData[[#This Row],[Office Code]],"-"),"-")</f>
        <v>113</v>
      </c>
      <c r="B14" s="162" t="str">
        <f>_xlfn.TEXTBEFORE(_xlfn.TEXTAFTER(EmpData[[#This Row],[Office Code]],"-",2),"-")</f>
        <v>TX</v>
      </c>
      <c r="C14" s="162" t="str">
        <f>_xlfn.TEXTBEFORE(_xlfn.TEXTAFTER(EmpData[[#This Row],[Office Code]],"-",3),"-")</f>
        <v>04</v>
      </c>
      <c r="D14" s="162" t="str">
        <f>_xlfn.TEXTAFTER(EmpData[[#This Row],[Office Code]],"-",4)</f>
        <v>13</v>
      </c>
      <c r="E14" s="162" t="str">
        <f>LEFT(EmpData[[#This Row],[Full Name]],3) &amp;
 LEFT(EmpData[[#This Row],[Department]],3) &amp;
 RIGHT(EmpData[[#This Row],[Phone Number]],4)</f>
        <v>DanIT 131M</v>
      </c>
      <c r="F14" s="162" t="str">
        <f>LEFT(EmpData[[#This Row],[Email]], FIND("@", EmpData[[#This Row],[Email]]) - 1)</f>
        <v>daniel.harris</v>
      </c>
      <c r="G14" s="162" t="str">
        <f>MID(
    EmpData[[#This Row],[Email]],
    FIND("@", EmpData[[#This Row],[Email]]) + 1,
    FIND(".", EmpData[[#This Row],[Email]], FIND("@", EmpData[[#This Row],[Email]]))
        - FIND("@", EmpData[[#This Row],[Email]]) - 1
)</f>
        <v>aus</v>
      </c>
      <c r="I14" s="194" t="str">
        <f>LEFT(EmpData[[#This Row],[Performance Code]], 3)</f>
        <v>EXC</v>
      </c>
      <c r="J14" s="194" t="str">
        <f>RIGHT(EmpData[[#This Row],[Performance Code]], 4)</f>
        <v>2021</v>
      </c>
      <c r="K14" s="194" t="str">
        <f>MID(
    EmpData[[#This Row],[Performance Code]],
    FIND("-", EmpData[[#This Row],[Performance Code]]) + 1,
    FIND("-", EmpData[[#This Row],[Performance Code]], FIND("-", EmpData[[#This Row],[Performance Code]]) + 1)
        - FIND("-", EmpData[[#This Row],[Performance Code]]) - 1
)</f>
        <v>9</v>
      </c>
      <c r="L14" s="194" t="str">
        <f>MID(
    EmpData[[#This Row],[Address]],
    FIND(" ", EmpData[[#This Row],[Address]]) + 1,
    FIND(",", EmpData[[#This Row],[Address]]) - FIND(" ", EmpData[[#This Row],[Address]]) - 1
)</f>
        <v>Maple Ct</v>
      </c>
      <c r="M14" s="194" t="str">
        <f>TRIM(
    MID(
        EmpData[[#This Row],[Address]],
        FIND(",", EmpData[[#This Row],[Address]]) + 2,
        FIND(",", EmpData[[#This Row],[Address]], FIND(",", EmpData[[#This Row],[Address]]) + 1)
            - FIND(",", EmpData[[#This Row],[Address]]) - 2
    )
)</f>
        <v>Austin</v>
      </c>
      <c r="N14" s="194" t="str">
        <f>TRIM(
    RIGHT(
        EmpData[[#This Row],[Address]],
        LEN(EmpData[[#This Row],[Address]]) -
        FIND(",", EmpData[[#This Row],[Address]], FIND(",", EmpData[[#This Row],[Address]]) + 1)
    )
)</f>
        <v>TX 78701</v>
      </c>
      <c r="P14" s="196">
        <f>YEAR(EmpData[[#This Row],[Hire Date]]) -
 VALUE(_xlfn.TEXTBEFORE(_xlfn.TEXTAFTER(EmpData[[#This Row],[Office Code]],"-",3),"-"))</f>
        <v>2013</v>
      </c>
      <c r="Q14" s="196" t="str">
        <f>IFERROR(MID(EmpData[[#This Row],[Full Name]],FIND(" ",EmpData[[#This Row],[Full Name]])+1,FIND(" ",EmpData[[#This Row],[Full Name]],FIND(" ",EmpData[[#This Row],[Full Name]])+1)-FIND(" ",EmpData[[#This Row],[Full Name]])-1),"No Middle Name")</f>
        <v>No Middle Name</v>
      </c>
      <c r="R14"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DH</v>
      </c>
      <c r="S14" s="196" t="str">
        <f>IF(EmpData[[#This Row],[Salary (USD)]]&lt;75000,"Junior",IF(EmpData[[#This Row],[Salary (USD)]]&lt;=100000,"Mid-level","Senior"))</f>
        <v>Senior</v>
      </c>
      <c r="U14" s="243" t="str">
        <f>EmpData[[#This Row],[Employee ID]] &amp; "-" &amp; UPPER(LEFT(EmpData[[#This Row],[Job Title]],3)) &amp; "-" &amp; LEFT(_xlfn.TEXTBEFORE(_xlfn.TEXTAFTER(EmpData[[#This Row],[Office Code]],"-",3),"-"),2)</f>
        <v>EMP013-DAT-04</v>
      </c>
      <c r="V14" s="243" t="str" cm="1">
        <f t="array" ref="V14">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No Match</v>
      </c>
      <c r="X14"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DH-I-17</v>
      </c>
      <c r="Y14" s="246" t="str">
        <f>_xlfn.TEXTBEFORE(_xlfn.TEXTAFTER(EmpData[[#This Row],[Phone Number]],"-"),"-") &amp; "-" &amp; RIGHT(_xlfn.TEXTBEFORE(EmpData[[#This Row],[Phone Number]]," "),4)</f>
        <v>737-2627</v>
      </c>
    </row>
    <row r="15" spans="1:25">
      <c r="A15" s="162" t="str">
        <f>_xlfn.TEXTBEFORE(_xlfn.TEXTAFTER(EmpData[[#This Row],[Office Code]],"-"),"-")</f>
        <v>114</v>
      </c>
      <c r="B15" s="162" t="str">
        <f>_xlfn.TEXTBEFORE(_xlfn.TEXTAFTER(EmpData[[#This Row],[Office Code]],"-",2),"-")</f>
        <v>NV</v>
      </c>
      <c r="C15" s="162" t="str">
        <f>_xlfn.TEXTBEFORE(_xlfn.TEXTAFTER(EmpData[[#This Row],[Office Code]],"-",3),"-")</f>
        <v>22</v>
      </c>
      <c r="D15" s="162" t="str">
        <f>_xlfn.TEXTAFTER(EmpData[[#This Row],[Office Code]],"-",4)</f>
        <v>14</v>
      </c>
      <c r="E15" s="162" t="str">
        <f>LEFT(EmpData[[#This Row],[Full Name]],3) &amp;
 LEFT(EmpData[[#This Row],[Department]],3) &amp;
 RIGHT(EmpData[[#This Row],[Phone Number]],4)</f>
        <v>AngMar141N</v>
      </c>
      <c r="F15" s="162" t="str">
        <f>LEFT(EmpData[[#This Row],[Email]], FIND("@", EmpData[[#This Row],[Email]]) - 1)</f>
        <v>angela.carter</v>
      </c>
      <c r="G15" s="162" t="str">
        <f>MID(
    EmpData[[#This Row],[Email]],
    FIND("@", EmpData[[#This Row],[Email]]) + 1,
    FIND(".", EmpData[[#This Row],[Email]], FIND("@", EmpData[[#This Row],[Email]]))
        - FIND("@", EmpData[[#This Row],[Email]]) - 1
)</f>
        <v>las</v>
      </c>
      <c r="I15" s="194" t="str">
        <f>LEFT(EmpData[[#This Row],[Performance Code]], 3)</f>
        <v>EXC</v>
      </c>
      <c r="J15" s="194" t="str">
        <f>RIGHT(EmpData[[#This Row],[Performance Code]], 4)</f>
        <v>2022</v>
      </c>
      <c r="K15" s="194" t="str">
        <f>MID(
    EmpData[[#This Row],[Performance Code]],
    FIND("-", EmpData[[#This Row],[Performance Code]]) + 1,
    FIND("-", EmpData[[#This Row],[Performance Code]], FIND("-", EmpData[[#This Row],[Performance Code]]) + 1)
        - FIND("-", EmpData[[#This Row],[Performance Code]]) - 1
)</f>
        <v>8</v>
      </c>
      <c r="L15" s="194" t="str">
        <f>MID(
    EmpData[[#This Row],[Address]],
    FIND(" ", EmpData[[#This Row],[Address]]) + 1,
    FIND(",", EmpData[[#This Row],[Address]]) - FIND(" ", EmpData[[#This Row],[Address]]) - 1
)</f>
        <v>Cypress Ave</v>
      </c>
      <c r="M15" s="194" t="str">
        <f>TRIM(
    MID(
        EmpData[[#This Row],[Address]],
        FIND(",", EmpData[[#This Row],[Address]]) + 2,
        FIND(",", EmpData[[#This Row],[Address]], FIND(",", EmpData[[#This Row],[Address]]) + 1)
            - FIND(",", EmpData[[#This Row],[Address]]) - 2
    )
)</f>
        <v>Las Vegas</v>
      </c>
      <c r="N15" s="194" t="str">
        <f>TRIM(
    RIGHT(
        EmpData[[#This Row],[Address]],
        LEN(EmpData[[#This Row],[Address]]) -
        FIND(",", EmpData[[#This Row],[Address]], FIND(",", EmpData[[#This Row],[Address]]) + 1)
    )
)</f>
        <v>NV 89101</v>
      </c>
      <c r="P15" s="196">
        <f>YEAR(EmpData[[#This Row],[Hire Date]]) -
 VALUE(_xlfn.TEXTBEFORE(_xlfn.TEXTAFTER(EmpData[[#This Row],[Office Code]],"-",3),"-"))</f>
        <v>1997</v>
      </c>
      <c r="Q15" s="196" t="str">
        <f>IFERROR(MID(EmpData[[#This Row],[Full Name]],FIND(" ",EmpData[[#This Row],[Full Name]])+1,FIND(" ",EmpData[[#This Row],[Full Name]],FIND(" ",EmpData[[#This Row],[Full Name]])+1)-FIND(" ",EmpData[[#This Row],[Full Name]])-1),"No Middle Name")</f>
        <v>Marie</v>
      </c>
      <c r="R15"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AMC</v>
      </c>
      <c r="S15" s="196" t="str">
        <f>IF(EmpData[[#This Row],[Salary (USD)]]&lt;75000,"Junior",IF(EmpData[[#This Row],[Salary (USD)]]&lt;=100000,"Mid-level","Senior"))</f>
        <v>Senior</v>
      </c>
      <c r="U15" s="243" t="str">
        <f>EmpData[[#This Row],[Employee ID]] &amp; "-" &amp; UPPER(LEFT(EmpData[[#This Row],[Job Title]],3)) &amp; "-" &amp; LEFT(_xlfn.TEXTBEFORE(_xlfn.TEXTAFTER(EmpData[[#This Row],[Office Code]],"-",3),"-"),2)</f>
        <v>EMP014-MAR-22</v>
      </c>
      <c r="V15" s="243" t="str" cm="1">
        <f t="array" ref="V15">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No Match</v>
      </c>
      <c r="X15"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AMC-M-19</v>
      </c>
      <c r="Y15" s="246" t="str">
        <f>_xlfn.TEXTBEFORE(_xlfn.TEXTAFTER(EmpData[[#This Row],[Phone Number]],"-"),"-") &amp; "-" &amp; RIGHT(_xlfn.TEXTBEFORE(EmpData[[#This Row],[Phone Number]]," "),4)</f>
        <v>702-2728</v>
      </c>
    </row>
    <row r="16" spans="1:25">
      <c r="A16" s="162" t="str">
        <f>_xlfn.TEXTBEFORE(_xlfn.TEXTAFTER(EmpData[[#This Row],[Office Code]],"-"),"-")</f>
        <v>115</v>
      </c>
      <c r="B16" s="162" t="str">
        <f>_xlfn.TEXTBEFORE(_xlfn.TEXTAFTER(EmpData[[#This Row],[Office Code]],"-",2),"-")</f>
        <v>NY</v>
      </c>
      <c r="C16" s="162" t="str">
        <f>_xlfn.TEXTBEFORE(_xlfn.TEXTAFTER(EmpData[[#This Row],[Office Code]],"-",3),"-")</f>
        <v>01</v>
      </c>
      <c r="D16" s="162" t="str">
        <f>_xlfn.TEXTAFTER(EmpData[[#This Row],[Office Code]],"-",4)</f>
        <v>15</v>
      </c>
      <c r="E16" s="162" t="str">
        <f>LEFT(EmpData[[#This Row],[Full Name]],3) &amp;
 LEFT(EmpData[[#This Row],[Department]],3) &amp;
 RIGHT(EmpData[[#This Row],[Phone Number]],4)</f>
        <v>BriFin151O</v>
      </c>
      <c r="F16" s="162" t="str">
        <f>LEFT(EmpData[[#This Row],[Email]], FIND("@", EmpData[[#This Row],[Email]]) - 1)</f>
        <v>brian.mitchell</v>
      </c>
      <c r="G16" s="162" t="str">
        <f>MID(
    EmpData[[#This Row],[Email]],
    FIND("@", EmpData[[#This Row],[Email]]) + 1,
    FIND(".", EmpData[[#This Row],[Email]], FIND("@", EmpData[[#This Row],[Email]]))
        - FIND("@", EmpData[[#This Row],[Email]]) - 1
)</f>
        <v>nyc</v>
      </c>
      <c r="I16" s="194" t="str">
        <f>LEFT(EmpData[[#This Row],[Performance Code]], 3)</f>
        <v>UNS</v>
      </c>
      <c r="J16" s="194" t="str">
        <f>RIGHT(EmpData[[#This Row],[Performance Code]], 4)</f>
        <v>2021</v>
      </c>
      <c r="K16" s="194" t="str">
        <f>MID(
    EmpData[[#This Row],[Performance Code]],
    FIND("-", EmpData[[#This Row],[Performance Code]]) + 1,
    FIND("-", EmpData[[#This Row],[Performance Code]], FIND("-", EmpData[[#This Row],[Performance Code]]) + 1)
        - FIND("-", EmpData[[#This Row],[Performance Code]]) - 1
)</f>
        <v>6</v>
      </c>
      <c r="L16" s="194" t="str">
        <f>MID(
    EmpData[[#This Row],[Address]],
    FIND(" ", EmpData[[#This Row],[Address]]) + 1,
    FIND(",", EmpData[[#This Row],[Address]]) - FIND(" ", EmpData[[#This Row],[Address]]) - 1
)</f>
        <v>Cedar St</v>
      </c>
      <c r="M16" s="194" t="str">
        <f>TRIM(
    MID(
        EmpData[[#This Row],[Address]],
        FIND(",", EmpData[[#This Row],[Address]]) + 2,
        FIND(",", EmpData[[#This Row],[Address]], FIND(",", EmpData[[#This Row],[Address]]) + 1)
            - FIND(",", EmpData[[#This Row],[Address]]) - 2
    )
)</f>
        <v>New York</v>
      </c>
      <c r="N16" s="194" t="str">
        <f>TRIM(
    RIGHT(
        EmpData[[#This Row],[Address]],
        LEN(EmpData[[#This Row],[Address]]) -
        FIND(",", EmpData[[#This Row],[Address]], FIND(",", EmpData[[#This Row],[Address]]) + 1)
    )
)</f>
        <v>NY 10001</v>
      </c>
      <c r="P16" s="196">
        <f>YEAR(EmpData[[#This Row],[Hire Date]]) -
 VALUE(_xlfn.TEXTBEFORE(_xlfn.TEXTAFTER(EmpData[[#This Row],[Office Code]],"-",3),"-"))</f>
        <v>2019</v>
      </c>
      <c r="Q16" s="196" t="str">
        <f>IFERROR(MID(EmpData[[#This Row],[Full Name]],FIND(" ",EmpData[[#This Row],[Full Name]])+1,FIND(" ",EmpData[[#This Row],[Full Name]],FIND(" ",EmpData[[#This Row],[Full Name]])+1)-FIND(" ",EmpData[[#This Row],[Full Name]])-1),"No Middle Name")</f>
        <v>Edward</v>
      </c>
      <c r="R16" s="196" t="str">
        <f>LEFT(EmpData[[#This Row],[Full Name]],1) &amp; IF(LEN(EmpData[[#This Row],[Full Name]])-LEN(SUBSTITUTE(EmpData[[#This Row],[Full Name]]," ",""))=2, MID(EmpData[[#This Row],[Full Name]],FIND(" ",EmpData[[#This Row],[Full Name]])+1,1), "") &amp; LEFT(TRIM(RIGHT(EmpData[[#This Row],[Full Name]],LEN(EmpData[[#This Row],[Full Name]])-FIND("@",SUBSTITUTE(EmpData[[#This Row],[Full Name]]," ","@",LEN(EmpData[[#This Row],[Full Name]])-LEN(SUBSTITUTE(EmpData[[#This Row],[Full Name]]," ","")))))),1)</f>
        <v>BEM</v>
      </c>
      <c r="S16" s="196" t="str">
        <f>IF(EmpData[[#This Row],[Salary (USD)]]&lt;75000,"Junior",IF(EmpData[[#This Row],[Salary (USD)]]&lt;=100000,"Mid-level","Senior"))</f>
        <v>Junior</v>
      </c>
      <c r="U16" s="243" t="str">
        <f>EmpData[[#This Row],[Employee ID]] &amp; "-" &amp; UPPER(LEFT(EmpData[[#This Row],[Job Title]],3)) &amp; "-" &amp; LEFT(_xlfn.TEXTBEFORE(_xlfn.TEXTAFTER(EmpData[[#This Row],[Office Code]],"-",3),"-"),2)</f>
        <v>EMP015-JUN-01</v>
      </c>
      <c r="V16" s="243" t="str" cm="1">
        <f t="array" ref="V16">IF(_xlfn.SWITCH(LOWER(MID(EmpData[[#This Row],[Email]],FIND("@",EmpData[[#This Row],[Email]])+1,FIND(".",EmpData[[#This Row],[Email]],FIND("@",EmpData[[#This Row],[Email]]))-FIND("@",EmpData[[#This Row],[Email]])-1)),"nyc","new york","sfo","san francisco","chi","chicago","dal","dallas","mia","miami","sea","seattle","den","denver","phx","phoenix","bos","boston","atl","atlanta","unknown")=LOWER(TRIM(MID(EmpData[[#This Row],[Address]],FIND(",",EmpData[[#This Row],[Address]])+2,FIND(",",EmpData[[#This Row],[Address]],FIND(",",EmpData[[#This Row],[Address]])+1)-FIND(",",EmpData[[#This Row],[Address]])-2))),"Match","No Match")</f>
        <v>Match</v>
      </c>
      <c r="X16" s="246" t="str">
        <f>LEFT(EmpData[[#This Row],[Full Name]],1) &amp; IF(COUNTIF(EmpData[[#This Row],[Full Name]],"* * *")&gt;0,MID(EmpData[[#This Row],[Full Name]],FIND(" ",EmpData[[#This Row],[Full Name]])+1,1),"") &amp; LEFT(TRIM(RIGHT(EmpData[[#This Row],[Full Name]],LEN(EmpData[[#This Row],[Full Name]])-FIND("@",SUBSTITUTE(EmpData[[#This Row],[Full Name]]," ","@",LEN(EmpData[[#This Row],[Full Name]])-LEN(SUBSTITUTE(EmpData[[#This Row],[Full Name]]," ","")))))),1) &amp; "-" &amp; LEFT(EmpData[[#This Row],[Department]],1) &amp; "-" &amp; RIGHT(YEAR(EmpData[[#This Row],[Hire Date]]),2)</f>
        <v>BEM-F-20</v>
      </c>
      <c r="Y16" s="246" t="str">
        <f>_xlfn.TEXTBEFORE(_xlfn.TEXTAFTER(EmpData[[#This Row],[Phone Number]],"-"),"-") &amp; "-" &amp; RIGHT(_xlfn.TEXTBEFORE(EmpData[[#This Row],[Phone Number]]," "),4)</f>
        <v>202-2829</v>
      </c>
    </row>
    <row r="17" spans="24:24">
      <c r="X17" s="4"/>
    </row>
    <row r="18" spans="24:24">
      <c r="X18" s="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3D2EC-1471-4372-A0C3-1BFA8FD0ACFA}">
  <sheetPr>
    <tabColor theme="3" tint="0.749992370372631"/>
  </sheetPr>
  <dimension ref="A1:K39"/>
  <sheetViews>
    <sheetView zoomScale="75" zoomScaleNormal="100" workbookViewId="0">
      <selection activeCell="K2" sqref="K2:K7"/>
    </sheetView>
  </sheetViews>
  <sheetFormatPr defaultRowHeight="14.4"/>
  <cols>
    <col min="1" max="1" width="11.5546875" customWidth="1"/>
    <col min="2" max="2" width="11.6640625" bestFit="1" customWidth="1"/>
    <col min="3" max="3" width="11" bestFit="1" customWidth="1"/>
    <col min="4" max="4" width="15.33203125" bestFit="1" customWidth="1"/>
    <col min="5" max="5" width="8.6640625" bestFit="1" customWidth="1"/>
    <col min="6" max="6" width="13.88671875" bestFit="1" customWidth="1"/>
    <col min="7" max="7" width="11.21875" bestFit="1" customWidth="1"/>
    <col min="8" max="8" width="9.88671875" bestFit="1" customWidth="1"/>
    <col min="9" max="9" width="12.77734375" bestFit="1" customWidth="1"/>
    <col min="11" max="11" width="22.21875" bestFit="1" customWidth="1"/>
  </cols>
  <sheetData>
    <row r="1" spans="1:11">
      <c r="A1" s="37" t="s">
        <v>405</v>
      </c>
      <c r="B1" s="37" t="s">
        <v>121</v>
      </c>
      <c r="C1" s="37" t="s">
        <v>124</v>
      </c>
      <c r="D1" s="37" t="s">
        <v>445</v>
      </c>
      <c r="E1" s="37" t="s">
        <v>444</v>
      </c>
      <c r="F1" s="37" t="s">
        <v>443</v>
      </c>
      <c r="G1" s="160" t="s">
        <v>656</v>
      </c>
      <c r="H1" s="161" t="s">
        <v>654</v>
      </c>
      <c r="I1" s="161" t="s">
        <v>652</v>
      </c>
      <c r="J1" s="161" t="s">
        <v>937</v>
      </c>
      <c r="K1" s="161" t="s">
        <v>938</v>
      </c>
    </row>
    <row r="2" spans="1:11">
      <c r="A2" s="35" t="s">
        <v>442</v>
      </c>
      <c r="B2" s="35" t="s">
        <v>441</v>
      </c>
      <c r="C2" s="35" t="s">
        <v>141</v>
      </c>
      <c r="D2" s="35">
        <v>4500</v>
      </c>
      <c r="E2" s="35">
        <v>5000</v>
      </c>
      <c r="F2" s="38">
        <v>0.95</v>
      </c>
      <c r="G2" s="162" t="str">
        <f>IF(D2&gt;=E2,"Met Target","Below Target")</f>
        <v>Below Target</v>
      </c>
      <c r="H2" s="162" t="str">
        <f>IF(AND(G2="Met Target",F2&gt;=90%),"Eligible","Not Eligible")</f>
        <v>Not Eligible</v>
      </c>
      <c r="I2" s="162" t="str">
        <f>IF(D2&gt;=5000,"High Bonus",IF(AND(D2&gt;=4000,D2&lt;5000),"Medium Bonus","No Bonus"))</f>
        <v>Medium Bonus</v>
      </c>
      <c r="J2" s="162" t="str">
        <f>IF(F2&gt;=95%,"A",IF(AND(F2&gt;=90%,F2&lt;=94%),"B",IF(AND(F2&gt;=80%,F2&lt;=89%),"C","D")))</f>
        <v>A</v>
      </c>
      <c r="K2" s="162" t="str">
        <f>IF(AND(D2&gt;=E2,F2&gt;=95%),"Outstanding Performance",IF(D2&gt;=E2,"Good Sales",IF(F2&gt;=95%,"Excellent Attendance","Needs Improvement")))</f>
        <v>Excellent Attendance</v>
      </c>
    </row>
    <row r="3" spans="1:11">
      <c r="A3" s="35" t="s">
        <v>440</v>
      </c>
      <c r="B3" s="35" t="s">
        <v>439</v>
      </c>
      <c r="C3" s="35" t="s">
        <v>135</v>
      </c>
      <c r="D3" s="35">
        <v>3000</v>
      </c>
      <c r="E3" s="35">
        <v>3500</v>
      </c>
      <c r="F3" s="38">
        <v>0.88</v>
      </c>
      <c r="G3" s="162" t="str">
        <f t="shared" ref="G3:G7" si="0">IF(D3&gt;=E3,"Met Target","Below Target")</f>
        <v>Below Target</v>
      </c>
      <c r="H3" s="162" t="str">
        <f t="shared" ref="H3:H7" si="1">IF(AND(G3="Met Target",F3&gt;=90%),"Eligible","Not Eligible")</f>
        <v>Not Eligible</v>
      </c>
      <c r="I3" s="162" t="str">
        <f t="shared" ref="I3:I7" si="2">IF(D3&gt;=5000,"High Bonus",IF(AND(D3&gt;=4000,D3&lt;5000),"Medium Bonus","No Bonus"))</f>
        <v>No Bonus</v>
      </c>
      <c r="J3" s="162" t="str">
        <f t="shared" ref="J3:J7" si="3">IF(F3&gt;=95%,"A",IF(AND(F3&gt;=90%,F3&lt;=94%),"B",IF(AND(F3&gt;=80%,F3&lt;=89%),"C","D")))</f>
        <v>C</v>
      </c>
      <c r="K3" s="162" t="str">
        <f t="shared" ref="K3:K7" si="4">IF(AND(D3&gt;=E3,F3&gt;=95%),"Outstanding Performance",IF(D3&gt;=E3,"Good Sales",IF(F3&gt;=95%,"Excellent Attendance","Needs Improvement")))</f>
        <v>Needs Improvement</v>
      </c>
    </row>
    <row r="4" spans="1:11">
      <c r="A4" s="35" t="s">
        <v>438</v>
      </c>
      <c r="B4" s="35" t="s">
        <v>437</v>
      </c>
      <c r="C4" s="35" t="s">
        <v>129</v>
      </c>
      <c r="D4" s="35">
        <v>3200</v>
      </c>
      <c r="E4" s="35">
        <v>3000</v>
      </c>
      <c r="F4" s="38">
        <v>0.92</v>
      </c>
      <c r="G4" s="162" t="str">
        <f t="shared" si="0"/>
        <v>Met Target</v>
      </c>
      <c r="H4" s="162" t="str">
        <f t="shared" si="1"/>
        <v>Eligible</v>
      </c>
      <c r="I4" s="162" t="str">
        <f t="shared" si="2"/>
        <v>No Bonus</v>
      </c>
      <c r="J4" s="162" t="str">
        <f t="shared" si="3"/>
        <v>B</v>
      </c>
      <c r="K4" s="162" t="str">
        <f t="shared" si="4"/>
        <v>Good Sales</v>
      </c>
    </row>
    <row r="5" spans="1:11">
      <c r="A5" s="35" t="s">
        <v>436</v>
      </c>
      <c r="B5" s="35" t="s">
        <v>435</v>
      </c>
      <c r="C5" s="35" t="s">
        <v>141</v>
      </c>
      <c r="D5" s="35">
        <v>6000</v>
      </c>
      <c r="E5" s="35">
        <v>5000</v>
      </c>
      <c r="F5" s="38">
        <v>0.97</v>
      </c>
      <c r="G5" s="162" t="str">
        <f t="shared" si="0"/>
        <v>Met Target</v>
      </c>
      <c r="H5" s="162" t="str">
        <f t="shared" si="1"/>
        <v>Eligible</v>
      </c>
      <c r="I5" s="162" t="str">
        <f t="shared" si="2"/>
        <v>High Bonus</v>
      </c>
      <c r="J5" s="162" t="str">
        <f t="shared" si="3"/>
        <v>A</v>
      </c>
      <c r="K5" s="162" t="str">
        <f t="shared" si="4"/>
        <v>Outstanding Performance</v>
      </c>
    </row>
    <row r="6" spans="1:11">
      <c r="A6" s="35" t="s">
        <v>434</v>
      </c>
      <c r="B6" s="35" t="s">
        <v>433</v>
      </c>
      <c r="C6" s="35" t="s">
        <v>132</v>
      </c>
      <c r="D6" s="35">
        <v>2700</v>
      </c>
      <c r="E6" s="35">
        <v>3000</v>
      </c>
      <c r="F6" s="38">
        <v>0.85</v>
      </c>
      <c r="G6" s="162" t="str">
        <f t="shared" si="0"/>
        <v>Below Target</v>
      </c>
      <c r="H6" s="162" t="str">
        <f t="shared" si="1"/>
        <v>Not Eligible</v>
      </c>
      <c r="I6" s="162" t="str">
        <f t="shared" si="2"/>
        <v>No Bonus</v>
      </c>
      <c r="J6" s="162" t="str">
        <f t="shared" si="3"/>
        <v>C</v>
      </c>
      <c r="K6" s="162" t="str">
        <f t="shared" si="4"/>
        <v>Needs Improvement</v>
      </c>
    </row>
    <row r="7" spans="1:11">
      <c r="A7" s="35" t="s">
        <v>432</v>
      </c>
      <c r="B7" s="35" t="s">
        <v>431</v>
      </c>
      <c r="C7" s="35" t="s">
        <v>260</v>
      </c>
      <c r="D7" s="35">
        <v>5000</v>
      </c>
      <c r="E7" s="35">
        <v>5000</v>
      </c>
      <c r="F7" s="38">
        <v>1</v>
      </c>
      <c r="G7" s="162" t="str">
        <f t="shared" si="0"/>
        <v>Met Target</v>
      </c>
      <c r="H7" s="162" t="str">
        <f t="shared" si="1"/>
        <v>Eligible</v>
      </c>
      <c r="I7" s="162" t="str">
        <f t="shared" si="2"/>
        <v>High Bonus</v>
      </c>
      <c r="J7" s="162" t="str">
        <f t="shared" si="3"/>
        <v>A</v>
      </c>
      <c r="K7" s="162" t="str">
        <f t="shared" si="4"/>
        <v>Outstanding Performance</v>
      </c>
    </row>
    <row r="10" spans="1:11" ht="18">
      <c r="A10" s="33" t="s">
        <v>430</v>
      </c>
    </row>
    <row r="11" spans="1:11">
      <c r="A11" s="32"/>
    </row>
    <row r="12" spans="1:11">
      <c r="A12" s="30" t="s">
        <v>429</v>
      </c>
    </row>
    <row r="13" spans="1:11">
      <c r="A13" s="32" t="s">
        <v>428</v>
      </c>
    </row>
    <row r="14" spans="1:11">
      <c r="A14" s="31" t="s">
        <v>427</v>
      </c>
    </row>
    <row r="15" spans="1:11">
      <c r="A15" s="32"/>
    </row>
    <row r="16" spans="1:11">
      <c r="A16" s="30" t="s">
        <v>426</v>
      </c>
    </row>
    <row r="17" spans="1:1">
      <c r="A17" s="32" t="s">
        <v>425</v>
      </c>
    </row>
    <row r="18" spans="1:1">
      <c r="A18" s="31" t="s">
        <v>424</v>
      </c>
    </row>
    <row r="19" spans="1:1">
      <c r="A19" s="32"/>
    </row>
    <row r="20" spans="1:1">
      <c r="A20" s="30" t="s">
        <v>423</v>
      </c>
    </row>
    <row r="21" spans="1:1">
      <c r="A21" s="32" t="s">
        <v>422</v>
      </c>
    </row>
    <row r="22" spans="1:1">
      <c r="A22" s="31" t="s">
        <v>421</v>
      </c>
    </row>
    <row r="23" spans="1:1">
      <c r="A23" s="31" t="s">
        <v>420</v>
      </c>
    </row>
    <row r="24" spans="1:1">
      <c r="A24" s="31" t="s">
        <v>419</v>
      </c>
    </row>
    <row r="25" spans="1:1">
      <c r="A25" s="31" t="s">
        <v>418</v>
      </c>
    </row>
    <row r="26" spans="1:1">
      <c r="A26" s="32"/>
    </row>
    <row r="27" spans="1:1">
      <c r="A27" s="30" t="s">
        <v>417</v>
      </c>
    </row>
    <row r="28" spans="1:1">
      <c r="A28" s="32" t="s">
        <v>416</v>
      </c>
    </row>
    <row r="29" spans="1:1">
      <c r="A29" s="31" t="s">
        <v>415</v>
      </c>
    </row>
    <row r="30" spans="1:1">
      <c r="A30" s="31" t="s">
        <v>414</v>
      </c>
    </row>
    <row r="31" spans="1:1">
      <c r="A31" s="31" t="s">
        <v>413</v>
      </c>
    </row>
    <row r="32" spans="1:1">
      <c r="A32" s="31" t="s">
        <v>412</v>
      </c>
    </row>
    <row r="33" spans="1:1">
      <c r="A33" s="32"/>
    </row>
    <row r="34" spans="1:1">
      <c r="A34" s="30" t="s">
        <v>411</v>
      </c>
    </row>
    <row r="35" spans="1:1">
      <c r="A35" s="32" t="s">
        <v>410</v>
      </c>
    </row>
    <row r="36" spans="1:1">
      <c r="A36" s="31" t="s">
        <v>409</v>
      </c>
    </row>
    <row r="37" spans="1:1">
      <c r="A37" s="31" t="s">
        <v>408</v>
      </c>
    </row>
    <row r="38" spans="1:1">
      <c r="A38" s="31" t="s">
        <v>407</v>
      </c>
    </row>
    <row r="39" spans="1:1">
      <c r="A39" s="31" t="s">
        <v>406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9220C-7415-4F3A-8F9C-3A65207BABA6}">
  <sheetPr>
    <tabColor theme="3" tint="0.749992370372631"/>
  </sheetPr>
  <dimension ref="A1:M75"/>
  <sheetViews>
    <sheetView topLeftCell="A49" zoomScale="79" workbookViewId="0">
      <selection activeCell="G14" sqref="G14"/>
    </sheetView>
  </sheetViews>
  <sheetFormatPr defaultRowHeight="14.4"/>
  <cols>
    <col min="1" max="1" width="47.88671875" customWidth="1"/>
    <col min="2" max="2" width="21.33203125" bestFit="1" customWidth="1"/>
    <col min="3" max="3" width="9" bestFit="1" customWidth="1"/>
    <col min="4" max="4" width="19.6640625" bestFit="1" customWidth="1"/>
    <col min="5" max="5" width="13.5546875" bestFit="1" customWidth="1"/>
    <col min="9" max="9" width="11" bestFit="1" customWidth="1"/>
    <col min="10" max="10" width="21.6640625" bestFit="1" customWidth="1"/>
    <col min="11" max="11" width="21.88671875" bestFit="1" customWidth="1"/>
    <col min="12" max="12" width="13" bestFit="1" customWidth="1"/>
  </cols>
  <sheetData>
    <row r="1" spans="1:13">
      <c r="A1" s="37" t="s">
        <v>556</v>
      </c>
      <c r="B1" s="37" t="s">
        <v>121</v>
      </c>
      <c r="C1" s="37" t="s">
        <v>1</v>
      </c>
      <c r="D1" s="37" t="s">
        <v>555</v>
      </c>
      <c r="E1" s="37" t="s">
        <v>554</v>
      </c>
      <c r="G1" s="40" t="s">
        <v>557</v>
      </c>
      <c r="I1" s="39" t="s">
        <v>556</v>
      </c>
      <c r="J1" s="39" t="s">
        <v>121</v>
      </c>
      <c r="K1" s="39" t="s">
        <v>555</v>
      </c>
      <c r="L1" s="39" t="s">
        <v>554</v>
      </c>
      <c r="M1" s="39" t="s">
        <v>1</v>
      </c>
    </row>
    <row r="2" spans="1:13">
      <c r="A2" s="35" t="s">
        <v>553</v>
      </c>
      <c r="B2" s="35" t="s">
        <v>549</v>
      </c>
      <c r="C2" s="35" t="s">
        <v>515</v>
      </c>
      <c r="D2" s="35" t="s">
        <v>552</v>
      </c>
      <c r="E2" s="35" t="s">
        <v>551</v>
      </c>
      <c r="I2" s="10">
        <v>1108113999</v>
      </c>
      <c r="J2" s="170" t="str">
        <f>INDEX($B$2:$B$33, MATCH("*"&amp;I2&amp;"*", $A$2:$A$33, 0))</f>
        <v>Aircel</v>
      </c>
      <c r="K2" s="170" t="str">
        <f>INDEX($D$2:$D$33, MATCH("*"&amp;I2&amp;"*", $A$2:$A$33, 0))</f>
        <v>Assam</v>
      </c>
      <c r="L2" s="170" t="str">
        <f>INDEX($E$2:$E$33, MATCH("*"&amp;I2&amp;"*", $A$2:$A$33, 0))</f>
        <v>Guwahati</v>
      </c>
      <c r="M2" s="170" t="str">
        <f>INDEX($C$2:$C$33, MATCH("*"&amp;I2&amp;"*", $A$2:$A$33, 0))</f>
        <v>Telecom</v>
      </c>
    </row>
    <row r="3" spans="1:13">
      <c r="A3" s="35" t="s">
        <v>550</v>
      </c>
      <c r="B3" s="35" t="s">
        <v>549</v>
      </c>
      <c r="C3" s="35" t="s">
        <v>515</v>
      </c>
      <c r="D3" s="35" t="s">
        <v>533</v>
      </c>
      <c r="E3" s="35" t="s">
        <v>532</v>
      </c>
      <c r="I3" s="10">
        <v>1108403628</v>
      </c>
      <c r="J3" s="170" t="str">
        <f t="shared" ref="J3:J66" si="0">INDEX($B$2:$B$33, MATCH("*"&amp;I3&amp;"*", $A$2:$A$33, 0))</f>
        <v>Aircel</v>
      </c>
      <c r="K3" s="170" t="str">
        <f t="shared" ref="K3:K66" si="1">INDEX($D$2:$D$33, MATCH("*"&amp;I3&amp;"*", $A$2:$A$33, 0))</f>
        <v>Assam</v>
      </c>
      <c r="L3" s="170" t="str">
        <f t="shared" ref="L3:L66" si="2">INDEX($E$2:$E$33, MATCH("*"&amp;I3&amp;"*", $A$2:$A$33, 0))</f>
        <v>Guwahati</v>
      </c>
      <c r="M3" s="170" t="str">
        <f t="shared" ref="M3:M66" si="3">INDEX($C$2:$C$33, MATCH("*"&amp;I3&amp;"*", $A$2:$A$33, 0))</f>
        <v>Telecom</v>
      </c>
    </row>
    <row r="4" spans="1:13">
      <c r="A4" s="35" t="s">
        <v>548</v>
      </c>
      <c r="B4" s="35" t="s">
        <v>543</v>
      </c>
      <c r="C4" s="35" t="s">
        <v>515</v>
      </c>
      <c r="D4" s="35" t="s">
        <v>546</v>
      </c>
      <c r="E4" s="35" t="s">
        <v>502</v>
      </c>
      <c r="I4" s="10">
        <v>1108361601</v>
      </c>
      <c r="J4" s="170" t="str">
        <f t="shared" si="0"/>
        <v>Aircel</v>
      </c>
      <c r="K4" s="170" t="str">
        <f t="shared" si="1"/>
        <v>Orissa</v>
      </c>
      <c r="L4" s="170" t="str">
        <f t="shared" si="2"/>
        <v>Bhubneshwar</v>
      </c>
      <c r="M4" s="170" t="str">
        <f t="shared" si="3"/>
        <v>Telecom</v>
      </c>
    </row>
    <row r="5" spans="1:13">
      <c r="A5" s="35" t="s">
        <v>547</v>
      </c>
      <c r="B5" s="35" t="s">
        <v>543</v>
      </c>
      <c r="C5" s="35" t="s">
        <v>515</v>
      </c>
      <c r="D5" s="35" t="s">
        <v>546</v>
      </c>
      <c r="E5" s="35" t="s">
        <v>502</v>
      </c>
      <c r="I5" s="10">
        <v>1108361525</v>
      </c>
      <c r="J5" s="170" t="str">
        <f t="shared" si="0"/>
        <v>Aircel</v>
      </c>
      <c r="K5" s="170" t="str">
        <f t="shared" si="1"/>
        <v>Orissa</v>
      </c>
      <c r="L5" s="170" t="str">
        <f t="shared" si="2"/>
        <v>Bhubneshwar</v>
      </c>
      <c r="M5" s="170" t="str">
        <f t="shared" si="3"/>
        <v>Telecom</v>
      </c>
    </row>
    <row r="6" spans="1:13">
      <c r="A6" s="35" t="s">
        <v>545</v>
      </c>
      <c r="B6" s="35" t="s">
        <v>543</v>
      </c>
      <c r="C6" s="35" t="s">
        <v>515</v>
      </c>
      <c r="D6" s="35" t="s">
        <v>542</v>
      </c>
      <c r="E6" s="35" t="s">
        <v>541</v>
      </c>
      <c r="I6" s="10">
        <v>1108227601</v>
      </c>
      <c r="J6" s="170" t="str">
        <f t="shared" si="0"/>
        <v>Reliance</v>
      </c>
      <c r="K6" s="170" t="str">
        <f t="shared" si="1"/>
        <v>AP</v>
      </c>
      <c r="L6" s="170" t="str">
        <f t="shared" si="2"/>
        <v>Hyderabad</v>
      </c>
      <c r="M6" s="170" t="str">
        <f t="shared" si="3"/>
        <v>Telecom</v>
      </c>
    </row>
    <row r="7" spans="1:13">
      <c r="A7" s="35" t="s">
        <v>544</v>
      </c>
      <c r="B7" s="35" t="s">
        <v>543</v>
      </c>
      <c r="C7" s="35" t="s">
        <v>515</v>
      </c>
      <c r="D7" s="35" t="s">
        <v>542</v>
      </c>
      <c r="E7" s="35" t="s">
        <v>541</v>
      </c>
      <c r="I7" s="10">
        <v>1108039774</v>
      </c>
      <c r="J7" s="170" t="str">
        <f t="shared" si="0"/>
        <v>Reliance</v>
      </c>
      <c r="K7" s="170" t="str">
        <f t="shared" si="1"/>
        <v>AP</v>
      </c>
      <c r="L7" s="170" t="str">
        <f t="shared" si="2"/>
        <v>Hyderabad</v>
      </c>
      <c r="M7" s="170" t="str">
        <f t="shared" si="3"/>
        <v>Telecom</v>
      </c>
    </row>
    <row r="8" spans="1:13">
      <c r="A8" s="35" t="s">
        <v>540</v>
      </c>
      <c r="B8" s="35" t="s">
        <v>539</v>
      </c>
      <c r="C8" s="35" t="s">
        <v>515</v>
      </c>
      <c r="D8" s="35" t="s">
        <v>538</v>
      </c>
      <c r="E8" s="35" t="s">
        <v>520</v>
      </c>
      <c r="I8" s="10">
        <v>1108227592</v>
      </c>
      <c r="J8" s="170" t="str">
        <f t="shared" si="0"/>
        <v>Reliance</v>
      </c>
      <c r="K8" s="170" t="str">
        <f t="shared" si="1"/>
        <v>AP</v>
      </c>
      <c r="L8" s="170" t="str">
        <f t="shared" si="2"/>
        <v>Hyderabad</v>
      </c>
      <c r="M8" s="170" t="str">
        <f t="shared" si="3"/>
        <v>Telecom</v>
      </c>
    </row>
    <row r="9" spans="1:13">
      <c r="A9" s="35" t="s">
        <v>537</v>
      </c>
      <c r="B9" s="35" t="s">
        <v>536</v>
      </c>
      <c r="C9" s="35" t="s">
        <v>515</v>
      </c>
      <c r="D9" s="35" t="s">
        <v>528</v>
      </c>
      <c r="E9" s="35" t="s">
        <v>487</v>
      </c>
      <c r="I9" s="10">
        <v>1108465261</v>
      </c>
      <c r="J9" s="170" t="str">
        <f t="shared" si="0"/>
        <v>Reliance</v>
      </c>
      <c r="K9" s="170" t="str">
        <f t="shared" si="1"/>
        <v>AP</v>
      </c>
      <c r="L9" s="170" t="str">
        <f t="shared" si="2"/>
        <v>Hyderabad</v>
      </c>
      <c r="M9" s="170" t="str">
        <f t="shared" si="3"/>
        <v>Telecom</v>
      </c>
    </row>
    <row r="10" spans="1:13">
      <c r="A10" s="35" t="s">
        <v>535</v>
      </c>
      <c r="B10" s="35" t="s">
        <v>529</v>
      </c>
      <c r="C10" s="35" t="s">
        <v>515</v>
      </c>
      <c r="D10" s="35" t="s">
        <v>514</v>
      </c>
      <c r="E10" s="35" t="s">
        <v>479</v>
      </c>
      <c r="I10" s="10">
        <v>1108465430</v>
      </c>
      <c r="J10" s="170" t="str">
        <f t="shared" si="0"/>
        <v>Reliance</v>
      </c>
      <c r="K10" s="170" t="str">
        <f t="shared" si="1"/>
        <v>AP</v>
      </c>
      <c r="L10" s="170" t="str">
        <f t="shared" si="2"/>
        <v>Hyderabad</v>
      </c>
      <c r="M10" s="170" t="str">
        <f t="shared" si="3"/>
        <v>Telecom</v>
      </c>
    </row>
    <row r="11" spans="1:13">
      <c r="A11" s="35" t="s">
        <v>534</v>
      </c>
      <c r="B11" s="35" t="s">
        <v>529</v>
      </c>
      <c r="C11" s="35" t="s">
        <v>515</v>
      </c>
      <c r="D11" s="35" t="s">
        <v>533</v>
      </c>
      <c r="E11" s="35" t="s">
        <v>532</v>
      </c>
      <c r="I11" s="10">
        <v>1107389435</v>
      </c>
      <c r="J11" s="170" t="str">
        <f t="shared" si="0"/>
        <v>Reliance</v>
      </c>
      <c r="K11" s="170" t="str">
        <f t="shared" si="1"/>
        <v>Karnataka</v>
      </c>
      <c r="L11" s="170" t="str">
        <f t="shared" si="2"/>
        <v>Bangalore</v>
      </c>
      <c r="M11" s="170" t="str">
        <f t="shared" si="3"/>
        <v>Telecom</v>
      </c>
    </row>
    <row r="12" spans="1:13">
      <c r="A12" s="35" t="s">
        <v>531</v>
      </c>
      <c r="B12" s="35" t="s">
        <v>529</v>
      </c>
      <c r="C12" s="35" t="s">
        <v>515</v>
      </c>
      <c r="D12" s="35" t="s">
        <v>528</v>
      </c>
      <c r="E12" s="35" t="s">
        <v>527</v>
      </c>
      <c r="I12" s="10">
        <v>1108100000</v>
      </c>
      <c r="J12" s="170" t="str">
        <f t="shared" si="0"/>
        <v>Reliance</v>
      </c>
      <c r="K12" s="170" t="str">
        <f t="shared" si="1"/>
        <v>Karnataka</v>
      </c>
      <c r="L12" s="170" t="str">
        <f t="shared" si="2"/>
        <v>Bangalore</v>
      </c>
      <c r="M12" s="170" t="str">
        <f t="shared" si="3"/>
        <v>Telecom</v>
      </c>
    </row>
    <row r="13" spans="1:13">
      <c r="A13" s="35" t="s">
        <v>530</v>
      </c>
      <c r="B13" s="35" t="s">
        <v>529</v>
      </c>
      <c r="C13" s="35" t="s">
        <v>515</v>
      </c>
      <c r="D13" s="35" t="s">
        <v>528</v>
      </c>
      <c r="E13" s="35" t="s">
        <v>527</v>
      </c>
      <c r="I13" s="10">
        <v>1108403665</v>
      </c>
      <c r="J13" s="170" t="str">
        <f t="shared" si="0"/>
        <v>Reliance</v>
      </c>
      <c r="K13" s="170" t="str">
        <f t="shared" si="1"/>
        <v>Karnataka</v>
      </c>
      <c r="L13" s="170" t="str">
        <f t="shared" si="2"/>
        <v>Bangalore</v>
      </c>
      <c r="M13" s="170" t="str">
        <f t="shared" si="3"/>
        <v>Telecom</v>
      </c>
    </row>
    <row r="14" spans="1:13">
      <c r="A14" s="35" t="s">
        <v>526</v>
      </c>
      <c r="B14" s="35" t="s">
        <v>524</v>
      </c>
      <c r="C14" s="35" t="s">
        <v>515</v>
      </c>
      <c r="D14" s="35" t="s">
        <v>495</v>
      </c>
      <c r="E14" s="35" t="s">
        <v>523</v>
      </c>
      <c r="I14" s="10">
        <v>1109040703</v>
      </c>
      <c r="J14" s="170" t="str">
        <f t="shared" si="0"/>
        <v>Reliance</v>
      </c>
      <c r="K14" s="170" t="str">
        <f t="shared" si="1"/>
        <v>Karnataka</v>
      </c>
      <c r="L14" s="170" t="str">
        <f t="shared" si="2"/>
        <v>Bangalore</v>
      </c>
      <c r="M14" s="170" t="str">
        <f t="shared" si="3"/>
        <v>Telecom</v>
      </c>
    </row>
    <row r="15" spans="1:13">
      <c r="A15" s="35" t="s">
        <v>525</v>
      </c>
      <c r="B15" s="35" t="s">
        <v>524</v>
      </c>
      <c r="C15" s="35" t="s">
        <v>515</v>
      </c>
      <c r="D15" s="35" t="s">
        <v>495</v>
      </c>
      <c r="E15" s="35" t="s">
        <v>523</v>
      </c>
      <c r="I15" s="10">
        <v>1107401031</v>
      </c>
      <c r="J15" s="170" t="str">
        <f t="shared" si="0"/>
        <v>Orrja</v>
      </c>
      <c r="K15" s="170" t="str">
        <f t="shared" si="1"/>
        <v>UPWest</v>
      </c>
      <c r="L15" s="170" t="str">
        <f t="shared" si="2"/>
        <v>Merrut</v>
      </c>
      <c r="M15" s="170" t="str">
        <f t="shared" si="3"/>
        <v>Telecom</v>
      </c>
    </row>
    <row r="16" spans="1:13">
      <c r="A16" s="35" t="s">
        <v>522</v>
      </c>
      <c r="B16" s="35" t="s">
        <v>516</v>
      </c>
      <c r="C16" s="35" t="s">
        <v>515</v>
      </c>
      <c r="D16" s="35" t="s">
        <v>521</v>
      </c>
      <c r="E16" s="35" t="s">
        <v>520</v>
      </c>
      <c r="I16" s="10">
        <v>1108361517</v>
      </c>
      <c r="J16" s="170" t="str">
        <f t="shared" si="0"/>
        <v>Orrja</v>
      </c>
      <c r="K16" s="170" t="str">
        <f t="shared" si="1"/>
        <v>UPWest</v>
      </c>
      <c r="L16" s="170" t="str">
        <f t="shared" si="2"/>
        <v>Merrut</v>
      </c>
      <c r="M16" s="170" t="str">
        <f t="shared" si="3"/>
        <v>Telecom</v>
      </c>
    </row>
    <row r="17" spans="1:13">
      <c r="A17" s="35" t="s">
        <v>519</v>
      </c>
      <c r="B17" s="35" t="s">
        <v>516</v>
      </c>
      <c r="C17" s="35" t="s">
        <v>515</v>
      </c>
      <c r="D17" s="35" t="s">
        <v>518</v>
      </c>
      <c r="E17" s="35" t="s">
        <v>463</v>
      </c>
      <c r="I17" s="10">
        <v>1108113875</v>
      </c>
      <c r="J17" s="170" t="str">
        <f t="shared" si="0"/>
        <v>Tata</v>
      </c>
      <c r="K17" s="170" t="str">
        <f t="shared" si="1"/>
        <v>West Bengal</v>
      </c>
      <c r="L17" s="170" t="str">
        <f t="shared" si="2"/>
        <v>Kolkata</v>
      </c>
      <c r="M17" s="170" t="str">
        <f t="shared" si="3"/>
        <v>Telecom</v>
      </c>
    </row>
    <row r="18" spans="1:13">
      <c r="A18" s="35" t="s">
        <v>517</v>
      </c>
      <c r="B18" s="35" t="s">
        <v>516</v>
      </c>
      <c r="C18" s="35" t="s">
        <v>515</v>
      </c>
      <c r="D18" s="35" t="s">
        <v>514</v>
      </c>
      <c r="E18" s="35" t="s">
        <v>479</v>
      </c>
      <c r="I18" s="10">
        <v>1107304361</v>
      </c>
      <c r="J18" s="170" t="str">
        <f t="shared" si="0"/>
        <v>Tata</v>
      </c>
      <c r="K18" s="170" t="str">
        <f t="shared" si="1"/>
        <v>West Bengal</v>
      </c>
      <c r="L18" s="170" t="str">
        <f t="shared" si="2"/>
        <v>Kolkata</v>
      </c>
      <c r="M18" s="170" t="str">
        <f t="shared" si="3"/>
        <v>Telecom</v>
      </c>
    </row>
    <row r="19" spans="1:13">
      <c r="A19" s="35" t="s">
        <v>513</v>
      </c>
      <c r="B19" s="35" t="s">
        <v>512</v>
      </c>
      <c r="C19" s="35" t="s">
        <v>448</v>
      </c>
      <c r="D19" s="35" t="s">
        <v>511</v>
      </c>
      <c r="E19" s="35" t="s">
        <v>510</v>
      </c>
      <c r="I19" s="10">
        <v>1107304396</v>
      </c>
      <c r="J19" s="170" t="str">
        <f t="shared" si="0"/>
        <v>Vodafone</v>
      </c>
      <c r="K19" s="170" t="str">
        <f t="shared" si="1"/>
        <v>Bihar</v>
      </c>
      <c r="L19" s="170" t="str">
        <f t="shared" si="2"/>
        <v>Patna</v>
      </c>
      <c r="M19" s="170" t="str">
        <f t="shared" si="3"/>
        <v>Telecom</v>
      </c>
    </row>
    <row r="20" spans="1:13">
      <c r="A20" s="35" t="s">
        <v>509</v>
      </c>
      <c r="B20" s="35" t="s">
        <v>508</v>
      </c>
      <c r="C20" s="35" t="s">
        <v>448</v>
      </c>
      <c r="D20" s="35" t="s">
        <v>507</v>
      </c>
      <c r="E20" s="35" t="s">
        <v>506</v>
      </c>
      <c r="I20" s="10">
        <v>1107400912</v>
      </c>
      <c r="J20" s="170" t="str">
        <f t="shared" si="0"/>
        <v>Vodafone</v>
      </c>
      <c r="K20" s="170" t="str">
        <f t="shared" si="1"/>
        <v>Bihar</v>
      </c>
      <c r="L20" s="170" t="str">
        <f t="shared" si="2"/>
        <v>Patna</v>
      </c>
      <c r="M20" s="170" t="str">
        <f t="shared" si="3"/>
        <v>Telecom</v>
      </c>
    </row>
    <row r="21" spans="1:13">
      <c r="A21" s="35" t="s">
        <v>505</v>
      </c>
      <c r="B21" s="35" t="s">
        <v>504</v>
      </c>
      <c r="C21" s="35" t="s">
        <v>448</v>
      </c>
      <c r="D21" s="35" t="s">
        <v>503</v>
      </c>
      <c r="E21" s="35" t="s">
        <v>502</v>
      </c>
      <c r="I21" s="10">
        <v>1107400975</v>
      </c>
      <c r="J21" s="170" t="str">
        <f t="shared" si="0"/>
        <v>Vodafone</v>
      </c>
      <c r="K21" s="170" t="str">
        <f t="shared" si="1"/>
        <v>Orissa</v>
      </c>
      <c r="L21" s="170" t="str">
        <f t="shared" si="2"/>
        <v>Bhubneshwar</v>
      </c>
      <c r="M21" s="170" t="str">
        <f t="shared" si="3"/>
        <v>Telecom</v>
      </c>
    </row>
    <row r="22" spans="1:13">
      <c r="A22" s="35" t="s">
        <v>501</v>
      </c>
      <c r="B22" s="35" t="s">
        <v>500</v>
      </c>
      <c r="C22" s="35" t="s">
        <v>448</v>
      </c>
      <c r="D22" s="35" t="s">
        <v>499</v>
      </c>
      <c r="E22" s="35" t="s">
        <v>451</v>
      </c>
      <c r="I22" s="10">
        <v>1108200000</v>
      </c>
      <c r="J22" s="170" t="str">
        <f t="shared" si="0"/>
        <v>Vodafone</v>
      </c>
      <c r="K22" s="170" t="str">
        <f t="shared" si="1"/>
        <v>Orissa</v>
      </c>
      <c r="L22" s="170" t="str">
        <f t="shared" si="2"/>
        <v>Bhubneshwar</v>
      </c>
      <c r="M22" s="170" t="str">
        <f t="shared" si="3"/>
        <v>Telecom</v>
      </c>
    </row>
    <row r="23" spans="1:13">
      <c r="A23" s="35" t="s">
        <v>498</v>
      </c>
      <c r="B23" s="35" t="s">
        <v>497</v>
      </c>
      <c r="C23" s="35" t="s">
        <v>448</v>
      </c>
      <c r="D23" s="35" t="s">
        <v>496</v>
      </c>
      <c r="E23" s="35" t="s">
        <v>495</v>
      </c>
      <c r="I23" s="10">
        <v>1108039685</v>
      </c>
      <c r="J23" s="170" t="str">
        <f t="shared" si="0"/>
        <v>Vodafone</v>
      </c>
      <c r="K23" s="170" t="str">
        <f t="shared" si="1"/>
        <v>West Bengal</v>
      </c>
      <c r="L23" s="170" t="str">
        <f t="shared" si="2"/>
        <v>Asansol</v>
      </c>
      <c r="M23" s="170" t="str">
        <f t="shared" si="3"/>
        <v>Telecom</v>
      </c>
    </row>
    <row r="24" spans="1:13">
      <c r="A24" s="35" t="s">
        <v>494</v>
      </c>
      <c r="B24" s="35" t="s">
        <v>493</v>
      </c>
      <c r="C24" s="35" t="s">
        <v>448</v>
      </c>
      <c r="D24" s="35" t="s">
        <v>492</v>
      </c>
      <c r="E24" s="35" t="s">
        <v>491</v>
      </c>
      <c r="I24" s="10">
        <v>1107126280</v>
      </c>
      <c r="J24" s="170" t="str">
        <f t="shared" si="0"/>
        <v>Vodafone</v>
      </c>
      <c r="K24" s="170" t="str">
        <f t="shared" si="1"/>
        <v>West Bengal</v>
      </c>
      <c r="L24" s="170" t="str">
        <f t="shared" si="2"/>
        <v>Asansol</v>
      </c>
      <c r="M24" s="170" t="str">
        <f t="shared" si="3"/>
        <v>Telecom</v>
      </c>
    </row>
    <row r="25" spans="1:13">
      <c r="A25" s="35" t="s">
        <v>490</v>
      </c>
      <c r="B25" s="35" t="s">
        <v>489</v>
      </c>
      <c r="C25" s="35" t="s">
        <v>448</v>
      </c>
      <c r="D25" s="35" t="s">
        <v>488</v>
      </c>
      <c r="E25" s="35" t="s">
        <v>487</v>
      </c>
      <c r="I25" s="10">
        <v>1108114052</v>
      </c>
      <c r="J25" s="170" t="str">
        <f t="shared" si="0"/>
        <v>Vodafone</v>
      </c>
      <c r="K25" s="170" t="str">
        <f t="shared" si="1"/>
        <v>West Bengal</v>
      </c>
      <c r="L25" s="170" t="str">
        <f t="shared" si="2"/>
        <v>Asansol</v>
      </c>
      <c r="M25" s="170" t="str">
        <f t="shared" si="3"/>
        <v>Telecom</v>
      </c>
    </row>
    <row r="26" spans="1:13">
      <c r="A26" s="35" t="s">
        <v>486</v>
      </c>
      <c r="B26" s="35" t="s">
        <v>485</v>
      </c>
      <c r="C26" s="35" t="s">
        <v>448</v>
      </c>
      <c r="D26" s="35" t="s">
        <v>484</v>
      </c>
      <c r="E26" s="35" t="s">
        <v>483</v>
      </c>
      <c r="I26" s="10">
        <v>1107368290</v>
      </c>
      <c r="J26" s="170" t="str">
        <f t="shared" si="0"/>
        <v>Vodafone</v>
      </c>
      <c r="K26" s="170" t="str">
        <f t="shared" si="1"/>
        <v>West Bengal</v>
      </c>
      <c r="L26" s="170" t="str">
        <f t="shared" si="2"/>
        <v>Asansol</v>
      </c>
      <c r="M26" s="170" t="str">
        <f t="shared" si="3"/>
        <v>Telecom</v>
      </c>
    </row>
    <row r="27" spans="1:13">
      <c r="A27" s="35" t="s">
        <v>482</v>
      </c>
      <c r="B27" s="35" t="s">
        <v>481</v>
      </c>
      <c r="C27" s="35" t="s">
        <v>448</v>
      </c>
      <c r="D27" s="35" t="s">
        <v>480</v>
      </c>
      <c r="E27" s="35" t="s">
        <v>479</v>
      </c>
      <c r="I27" s="10">
        <v>106384604</v>
      </c>
      <c r="J27" s="170" t="str">
        <f t="shared" si="0"/>
        <v>Vodafone</v>
      </c>
      <c r="K27" s="170" t="str">
        <f t="shared" si="1"/>
        <v>West Bengal</v>
      </c>
      <c r="L27" s="170" t="str">
        <f t="shared" si="2"/>
        <v>Asansol</v>
      </c>
      <c r="M27" s="170" t="str">
        <f t="shared" si="3"/>
        <v>Telecom</v>
      </c>
    </row>
    <row r="28" spans="1:13">
      <c r="A28" s="35" t="s">
        <v>478</v>
      </c>
      <c r="B28" s="35" t="s">
        <v>477</v>
      </c>
      <c r="C28" s="35" t="s">
        <v>448</v>
      </c>
      <c r="D28" s="35" t="s">
        <v>476</v>
      </c>
      <c r="E28" s="35" t="s">
        <v>475</v>
      </c>
      <c r="I28" s="10">
        <v>1107209977</v>
      </c>
      <c r="J28" s="170" t="str">
        <f t="shared" si="0"/>
        <v>Vodafone</v>
      </c>
      <c r="K28" s="170" t="str">
        <f t="shared" si="1"/>
        <v>West Bengal</v>
      </c>
      <c r="L28" s="170" t="str">
        <f t="shared" si="2"/>
        <v>Asansol</v>
      </c>
      <c r="M28" s="170" t="str">
        <f t="shared" si="3"/>
        <v>Telecom</v>
      </c>
    </row>
    <row r="29" spans="1:13">
      <c r="A29" s="35" t="s">
        <v>474</v>
      </c>
      <c r="B29" s="35" t="s">
        <v>473</v>
      </c>
      <c r="C29" s="35" t="s">
        <v>448</v>
      </c>
      <c r="D29" s="35" t="s">
        <v>472</v>
      </c>
      <c r="E29" s="35" t="s">
        <v>471</v>
      </c>
      <c r="I29" s="10">
        <v>1108289348</v>
      </c>
      <c r="J29" s="170" t="str">
        <f t="shared" si="0"/>
        <v>Idea</v>
      </c>
      <c r="K29" s="170" t="str">
        <f t="shared" si="1"/>
        <v>Delhi</v>
      </c>
      <c r="L29" s="170" t="str">
        <f t="shared" si="2"/>
        <v>Vikas Puri</v>
      </c>
      <c r="M29" s="170" t="str">
        <f t="shared" si="3"/>
        <v>Telecom</v>
      </c>
    </row>
    <row r="30" spans="1:13">
      <c r="A30" s="35" t="s">
        <v>470</v>
      </c>
      <c r="B30" s="35" t="s">
        <v>469</v>
      </c>
      <c r="C30" s="35" t="s">
        <v>448</v>
      </c>
      <c r="D30" s="35" t="s">
        <v>468</v>
      </c>
      <c r="E30" s="35" t="s">
        <v>467</v>
      </c>
      <c r="I30" s="10">
        <v>1108392433</v>
      </c>
      <c r="J30" s="170" t="str">
        <f t="shared" si="0"/>
        <v>Idea</v>
      </c>
      <c r="K30" s="170" t="str">
        <f t="shared" si="1"/>
        <v>Delhi</v>
      </c>
      <c r="L30" s="170" t="str">
        <f t="shared" si="2"/>
        <v>Vikas Puri</v>
      </c>
      <c r="M30" s="170" t="str">
        <f t="shared" si="3"/>
        <v>Telecom</v>
      </c>
    </row>
    <row r="31" spans="1:13">
      <c r="A31" s="35" t="s">
        <v>466</v>
      </c>
      <c r="B31" s="35" t="s">
        <v>465</v>
      </c>
      <c r="C31" s="35" t="s">
        <v>448</v>
      </c>
      <c r="D31" s="35" t="s">
        <v>464</v>
      </c>
      <c r="E31" s="35" t="s">
        <v>463</v>
      </c>
      <c r="I31" s="10">
        <v>1107304368</v>
      </c>
      <c r="J31" s="170" t="str">
        <f t="shared" si="0"/>
        <v>Idea</v>
      </c>
      <c r="K31" s="170" t="str">
        <f t="shared" si="1"/>
        <v>Delhi</v>
      </c>
      <c r="L31" s="170" t="str">
        <f t="shared" si="2"/>
        <v>Vikas Puri</v>
      </c>
      <c r="M31" s="170" t="str">
        <f t="shared" si="3"/>
        <v>Telecom</v>
      </c>
    </row>
    <row r="32" spans="1:13">
      <c r="A32" s="35" t="s">
        <v>462</v>
      </c>
      <c r="B32" s="35" t="s">
        <v>461</v>
      </c>
      <c r="C32" s="35" t="s">
        <v>448</v>
      </c>
      <c r="D32" s="35" t="s">
        <v>460</v>
      </c>
      <c r="E32" s="35" t="s">
        <v>459</v>
      </c>
      <c r="I32" s="10">
        <v>1107304392</v>
      </c>
      <c r="J32" s="170" t="str">
        <f t="shared" si="0"/>
        <v>Idea</v>
      </c>
      <c r="K32" s="170" t="str">
        <f t="shared" si="1"/>
        <v>Delhi</v>
      </c>
      <c r="L32" s="170" t="str">
        <f t="shared" si="2"/>
        <v>Vikas Puri</v>
      </c>
      <c r="M32" s="170" t="str">
        <f t="shared" si="3"/>
        <v>Telecom</v>
      </c>
    </row>
    <row r="33" spans="1:13">
      <c r="A33" s="35" t="s">
        <v>458</v>
      </c>
      <c r="B33" s="35" t="s">
        <v>457</v>
      </c>
      <c r="C33" s="35" t="s">
        <v>448</v>
      </c>
      <c r="D33" s="35" t="s">
        <v>456</v>
      </c>
      <c r="E33" s="35" t="s">
        <v>455</v>
      </c>
      <c r="I33" s="10">
        <v>1107304472</v>
      </c>
      <c r="J33" s="170" t="str">
        <f t="shared" si="0"/>
        <v>Idea</v>
      </c>
      <c r="K33" s="170" t="str">
        <f t="shared" si="1"/>
        <v>Delhi</v>
      </c>
      <c r="L33" s="170" t="str">
        <f t="shared" si="2"/>
        <v>Vikas Puri</v>
      </c>
      <c r="M33" s="170" t="str">
        <f t="shared" si="3"/>
        <v>Telecom</v>
      </c>
    </row>
    <row r="34" spans="1:13">
      <c r="A34" s="35" t="s">
        <v>454</v>
      </c>
      <c r="B34" s="35" t="s">
        <v>453</v>
      </c>
      <c r="C34" s="35" t="s">
        <v>448</v>
      </c>
      <c r="D34" s="35" t="s">
        <v>452</v>
      </c>
      <c r="E34" s="35" t="s">
        <v>451</v>
      </c>
      <c r="I34" s="10">
        <v>1106489994</v>
      </c>
      <c r="J34" s="170" t="str">
        <f t="shared" si="0"/>
        <v>Airtel</v>
      </c>
      <c r="K34" s="170" t="str">
        <f t="shared" si="1"/>
        <v>UP-East</v>
      </c>
      <c r="L34" s="170" t="str">
        <f t="shared" si="2"/>
        <v>Merrut</v>
      </c>
      <c r="M34" s="170" t="str">
        <f t="shared" si="3"/>
        <v>Telecom</v>
      </c>
    </row>
    <row r="35" spans="1:13">
      <c r="A35" s="35" t="s">
        <v>450</v>
      </c>
      <c r="B35" s="35" t="s">
        <v>449</v>
      </c>
      <c r="C35" s="35" t="s">
        <v>448</v>
      </c>
      <c r="D35" s="35" t="s">
        <v>447</v>
      </c>
      <c r="E35" s="35" t="s">
        <v>446</v>
      </c>
      <c r="I35" s="10">
        <v>1107126272</v>
      </c>
      <c r="J35" s="170" t="str">
        <f t="shared" si="0"/>
        <v>Airtel</v>
      </c>
      <c r="K35" s="170" t="str">
        <f t="shared" si="1"/>
        <v>UP-East</v>
      </c>
      <c r="L35" s="170" t="str">
        <f t="shared" si="2"/>
        <v>Merrut</v>
      </c>
      <c r="M35" s="170" t="str">
        <f t="shared" si="3"/>
        <v>Telecom</v>
      </c>
    </row>
    <row r="36" spans="1:13">
      <c r="I36" s="10">
        <v>1108113940</v>
      </c>
      <c r="J36" s="170" t="str">
        <f t="shared" si="0"/>
        <v>Airtel</v>
      </c>
      <c r="K36" s="170" t="str">
        <f t="shared" si="1"/>
        <v>UP-West</v>
      </c>
      <c r="L36" s="170" t="str">
        <f t="shared" si="2"/>
        <v>Lucknow</v>
      </c>
      <c r="M36" s="170" t="str">
        <f t="shared" si="3"/>
        <v>Telecom</v>
      </c>
    </row>
    <row r="37" spans="1:13">
      <c r="I37" s="10">
        <v>1108039738</v>
      </c>
      <c r="J37" s="170" t="str">
        <f t="shared" si="0"/>
        <v>Airtel</v>
      </c>
      <c r="K37" s="170" t="str">
        <f t="shared" si="1"/>
        <v>UP-West</v>
      </c>
      <c r="L37" s="170" t="str">
        <f t="shared" si="2"/>
        <v>Lucknow</v>
      </c>
      <c r="M37" s="170" t="str">
        <f t="shared" si="3"/>
        <v>Telecom</v>
      </c>
    </row>
    <row r="38" spans="1:13">
      <c r="I38" s="10">
        <v>1106489974</v>
      </c>
      <c r="J38" s="170" t="str">
        <f t="shared" si="0"/>
        <v>Airtel</v>
      </c>
      <c r="K38" s="170" t="str">
        <f t="shared" si="1"/>
        <v>Bihar</v>
      </c>
      <c r="L38" s="170" t="str">
        <f t="shared" si="2"/>
        <v>Patna</v>
      </c>
      <c r="M38" s="170" t="str">
        <f t="shared" si="3"/>
        <v>Telecom</v>
      </c>
    </row>
    <row r="39" spans="1:13">
      <c r="I39" s="10">
        <v>1107389365</v>
      </c>
      <c r="J39" s="170" t="str">
        <f t="shared" si="0"/>
        <v>Airtel</v>
      </c>
      <c r="K39" s="170" t="str">
        <f t="shared" si="1"/>
        <v>Bihar</v>
      </c>
      <c r="L39" s="170" t="str">
        <f t="shared" si="2"/>
        <v>Patna</v>
      </c>
      <c r="M39" s="170" t="str">
        <f t="shared" si="3"/>
        <v>Telecom</v>
      </c>
    </row>
    <row r="40" spans="1:13">
      <c r="I40" s="10">
        <v>2001112999</v>
      </c>
      <c r="J40" s="170" t="str">
        <f t="shared" si="0"/>
        <v>Sunshine Academy</v>
      </c>
      <c r="K40" s="170" t="str">
        <f t="shared" si="1"/>
        <v>Engineering</v>
      </c>
      <c r="L40" s="170" t="str">
        <f t="shared" si="2"/>
        <v>Mumbai</v>
      </c>
      <c r="M40" s="170" t="str">
        <f t="shared" si="3"/>
        <v>Education</v>
      </c>
    </row>
    <row r="41" spans="1:13">
      <c r="I41" s="10">
        <v>2008403628</v>
      </c>
      <c r="J41" s="170" t="str">
        <f t="shared" si="0"/>
        <v>Sunshine Academy</v>
      </c>
      <c r="K41" s="170" t="str">
        <f t="shared" si="1"/>
        <v>Engineering</v>
      </c>
      <c r="L41" s="170" t="str">
        <f t="shared" si="2"/>
        <v>Mumbai</v>
      </c>
      <c r="M41" s="170" t="str">
        <f t="shared" si="3"/>
        <v>Education</v>
      </c>
    </row>
    <row r="42" spans="1:13">
      <c r="I42" s="10">
        <v>2001234567</v>
      </c>
      <c r="J42" s="170" t="str">
        <f t="shared" si="0"/>
        <v>Sunshine Academy</v>
      </c>
      <c r="K42" s="170" t="str">
        <f t="shared" si="1"/>
        <v>Engineering</v>
      </c>
      <c r="L42" s="170" t="str">
        <f t="shared" si="2"/>
        <v>Mumbai</v>
      </c>
      <c r="M42" s="170" t="str">
        <f t="shared" si="3"/>
        <v>Education</v>
      </c>
    </row>
    <row r="43" spans="1:13">
      <c r="I43" s="10">
        <v>2008361601</v>
      </c>
      <c r="J43" s="170" t="str">
        <f t="shared" si="0"/>
        <v>Green Valley College</v>
      </c>
      <c r="K43" s="170" t="str">
        <f t="shared" si="1"/>
        <v>Arts &amp; Humanities</v>
      </c>
      <c r="L43" s="170" t="str">
        <f t="shared" si="2"/>
        <v>Chennai</v>
      </c>
      <c r="M43" s="170" t="str">
        <f t="shared" si="3"/>
        <v>Education</v>
      </c>
    </row>
    <row r="44" spans="1:13">
      <c r="I44" s="10">
        <v>2008361525</v>
      </c>
      <c r="J44" s="170" t="str">
        <f t="shared" si="0"/>
        <v>Green Valley College</v>
      </c>
      <c r="K44" s="170" t="str">
        <f t="shared" si="1"/>
        <v>Arts &amp; Humanities</v>
      </c>
      <c r="L44" s="170" t="str">
        <f t="shared" si="2"/>
        <v>Chennai</v>
      </c>
      <c r="M44" s="170" t="str">
        <f t="shared" si="3"/>
        <v>Education</v>
      </c>
    </row>
    <row r="45" spans="1:13">
      <c r="I45" s="10">
        <v>2008367890</v>
      </c>
      <c r="J45" s="170" t="str">
        <f t="shared" si="0"/>
        <v>Green Valley College</v>
      </c>
      <c r="K45" s="170" t="str">
        <f t="shared" si="1"/>
        <v>Arts &amp; Humanities</v>
      </c>
      <c r="L45" s="170" t="str">
        <f t="shared" si="2"/>
        <v>Chennai</v>
      </c>
      <c r="M45" s="170" t="str">
        <f t="shared" si="3"/>
        <v>Education</v>
      </c>
    </row>
    <row r="46" spans="1:13">
      <c r="I46" s="10">
        <v>2008227601</v>
      </c>
      <c r="J46" s="170" t="str">
        <f t="shared" si="0"/>
        <v>Brilliant Tutorials</v>
      </c>
      <c r="K46" s="170" t="str">
        <f t="shared" si="1"/>
        <v>Medical Sciences</v>
      </c>
      <c r="L46" s="170" t="str">
        <f t="shared" si="2"/>
        <v>Hyderabad</v>
      </c>
      <c r="M46" s="170" t="str">
        <f t="shared" si="3"/>
        <v>Education</v>
      </c>
    </row>
    <row r="47" spans="1:13">
      <c r="I47" s="10">
        <v>2008039774</v>
      </c>
      <c r="J47" s="170" t="str">
        <f t="shared" si="0"/>
        <v>Brilliant Tutorials</v>
      </c>
      <c r="K47" s="170" t="str">
        <f t="shared" si="1"/>
        <v>Medical Sciences</v>
      </c>
      <c r="L47" s="170" t="str">
        <f t="shared" si="2"/>
        <v>Hyderabad</v>
      </c>
      <c r="M47" s="170" t="str">
        <f t="shared" si="3"/>
        <v>Education</v>
      </c>
    </row>
    <row r="48" spans="1:13">
      <c r="I48" s="10">
        <v>2008227592</v>
      </c>
      <c r="J48" s="170" t="str">
        <f t="shared" si="0"/>
        <v>Brilliant Tutorials</v>
      </c>
      <c r="K48" s="170" t="str">
        <f t="shared" si="1"/>
        <v>Medical Sciences</v>
      </c>
      <c r="L48" s="170" t="str">
        <f t="shared" si="2"/>
        <v>Hyderabad</v>
      </c>
      <c r="M48" s="170" t="str">
        <f t="shared" si="3"/>
        <v>Education</v>
      </c>
    </row>
    <row r="49" spans="9:13">
      <c r="I49" s="10">
        <v>2008465261</v>
      </c>
      <c r="J49" s="170" t="str">
        <f t="shared" si="0"/>
        <v>FutureTech University</v>
      </c>
      <c r="K49" s="170" t="str">
        <f t="shared" si="1"/>
        <v>Information Technology</v>
      </c>
      <c r="L49" s="170" t="str">
        <f t="shared" si="2"/>
        <v>Bengaluru</v>
      </c>
      <c r="M49" s="170" t="str">
        <f t="shared" si="3"/>
        <v>Education</v>
      </c>
    </row>
    <row r="50" spans="9:13">
      <c r="I50" s="10">
        <v>2008465430</v>
      </c>
      <c r="J50" s="170" t="str">
        <f t="shared" si="0"/>
        <v>FutureTech University</v>
      </c>
      <c r="K50" s="170" t="str">
        <f t="shared" si="1"/>
        <v>Information Technology</v>
      </c>
      <c r="L50" s="170" t="str">
        <f t="shared" si="2"/>
        <v>Bengaluru</v>
      </c>
      <c r="M50" s="170" t="str">
        <f t="shared" si="3"/>
        <v>Education</v>
      </c>
    </row>
    <row r="51" spans="9:13">
      <c r="I51" s="10">
        <v>2008468000</v>
      </c>
      <c r="J51" s="170" t="str">
        <f t="shared" si="0"/>
        <v>FutureTech University</v>
      </c>
      <c r="K51" s="170" t="str">
        <f t="shared" si="1"/>
        <v>Information Technology</v>
      </c>
      <c r="L51" s="170" t="str">
        <f t="shared" si="2"/>
        <v>Bengaluru</v>
      </c>
      <c r="M51" s="170" t="str">
        <f t="shared" si="3"/>
        <v>Education</v>
      </c>
    </row>
    <row r="52" spans="9:13">
      <c r="I52" s="10">
        <v>2007389435</v>
      </c>
      <c r="J52" s="170" t="str">
        <f t="shared" si="0"/>
        <v>Bright Minds Institute</v>
      </c>
      <c r="K52" s="170" t="str">
        <f t="shared" si="1"/>
        <v>Business Studies</v>
      </c>
      <c r="L52" s="170" t="str">
        <f t="shared" si="2"/>
        <v>Delhi</v>
      </c>
      <c r="M52" s="170" t="str">
        <f t="shared" si="3"/>
        <v>Education</v>
      </c>
    </row>
    <row r="53" spans="9:13">
      <c r="I53" s="10">
        <v>2008100000</v>
      </c>
      <c r="J53" s="170" t="str">
        <f t="shared" si="0"/>
        <v>Bright Minds Institute</v>
      </c>
      <c r="K53" s="170" t="str">
        <f t="shared" si="1"/>
        <v>Business Studies</v>
      </c>
      <c r="L53" s="170" t="str">
        <f t="shared" si="2"/>
        <v>Delhi</v>
      </c>
      <c r="M53" s="170" t="str">
        <f t="shared" si="3"/>
        <v>Education</v>
      </c>
    </row>
    <row r="54" spans="9:13">
      <c r="I54" s="10">
        <v>2007384000</v>
      </c>
      <c r="J54" s="170" t="str">
        <f t="shared" si="0"/>
        <v>Bright Minds Institute</v>
      </c>
      <c r="K54" s="170" t="str">
        <f t="shared" si="1"/>
        <v>Business Studies</v>
      </c>
      <c r="L54" s="170" t="str">
        <f t="shared" si="2"/>
        <v>Delhi</v>
      </c>
      <c r="M54" s="170" t="str">
        <f t="shared" si="3"/>
        <v>Education</v>
      </c>
    </row>
    <row r="55" spans="9:13">
      <c r="I55" s="10">
        <v>2008403665</v>
      </c>
      <c r="J55" s="170" t="str">
        <f t="shared" si="0"/>
        <v>Knowledge Tree College</v>
      </c>
      <c r="K55" s="170" t="str">
        <f t="shared" si="1"/>
        <v>Law</v>
      </c>
      <c r="L55" s="170" t="str">
        <f t="shared" si="2"/>
        <v>Pune</v>
      </c>
      <c r="M55" s="170" t="str">
        <f t="shared" si="3"/>
        <v>Education</v>
      </c>
    </row>
    <row r="56" spans="9:13">
      <c r="I56" s="10">
        <v>2009040703</v>
      </c>
      <c r="J56" s="170" t="str">
        <f t="shared" si="0"/>
        <v>Knowledge Tree College</v>
      </c>
      <c r="K56" s="170" t="str">
        <f t="shared" si="1"/>
        <v>Law</v>
      </c>
      <c r="L56" s="170" t="str">
        <f t="shared" si="2"/>
        <v>Pune</v>
      </c>
      <c r="M56" s="170" t="str">
        <f t="shared" si="3"/>
        <v>Education</v>
      </c>
    </row>
    <row r="57" spans="9:13">
      <c r="I57" s="10">
        <v>2008409999</v>
      </c>
      <c r="J57" s="170" t="str">
        <f t="shared" si="0"/>
        <v>Knowledge Tree College</v>
      </c>
      <c r="K57" s="170" t="str">
        <f t="shared" si="1"/>
        <v>Law</v>
      </c>
      <c r="L57" s="170" t="str">
        <f t="shared" si="2"/>
        <v>Pune</v>
      </c>
      <c r="M57" s="170" t="str">
        <f t="shared" si="3"/>
        <v>Education</v>
      </c>
    </row>
    <row r="58" spans="9:13">
      <c r="I58" s="10">
        <v>2007401031</v>
      </c>
      <c r="J58" s="170" t="str">
        <f t="shared" si="0"/>
        <v>Wisdom International</v>
      </c>
      <c r="K58" s="170" t="str">
        <f t="shared" si="1"/>
        <v>Psychology</v>
      </c>
      <c r="L58" s="170" t="str">
        <f t="shared" si="2"/>
        <v>Kolkata</v>
      </c>
      <c r="M58" s="170" t="str">
        <f t="shared" si="3"/>
        <v>Education</v>
      </c>
    </row>
    <row r="59" spans="9:13">
      <c r="I59" s="10">
        <v>2008361517</v>
      </c>
      <c r="J59" s="170" t="str">
        <f t="shared" si="0"/>
        <v>Wisdom International</v>
      </c>
      <c r="K59" s="170" t="str">
        <f t="shared" si="1"/>
        <v>Psychology</v>
      </c>
      <c r="L59" s="170" t="str">
        <f t="shared" si="2"/>
        <v>Kolkata</v>
      </c>
      <c r="M59" s="170" t="str">
        <f t="shared" si="3"/>
        <v>Education</v>
      </c>
    </row>
    <row r="60" spans="9:13">
      <c r="I60" s="10">
        <v>2007405555</v>
      </c>
      <c r="J60" s="170" t="str">
        <f t="shared" si="0"/>
        <v>Wisdom International</v>
      </c>
      <c r="K60" s="170" t="str">
        <f t="shared" si="1"/>
        <v>Psychology</v>
      </c>
      <c r="L60" s="170" t="str">
        <f t="shared" si="2"/>
        <v>Kolkata</v>
      </c>
      <c r="M60" s="170" t="str">
        <f t="shared" si="3"/>
        <v>Education</v>
      </c>
    </row>
    <row r="61" spans="9:13">
      <c r="I61" s="10">
        <v>2008113875</v>
      </c>
      <c r="J61" s="170" t="str">
        <f t="shared" si="0"/>
        <v>Leadership Academy</v>
      </c>
      <c r="K61" s="170" t="str">
        <f t="shared" si="1"/>
        <v>Management</v>
      </c>
      <c r="L61" s="170" t="str">
        <f t="shared" si="2"/>
        <v>Jaipur</v>
      </c>
      <c r="M61" s="170" t="str">
        <f t="shared" si="3"/>
        <v>Education</v>
      </c>
    </row>
    <row r="62" spans="9:13">
      <c r="I62" s="10">
        <v>2007304361</v>
      </c>
      <c r="J62" s="170" t="str">
        <f t="shared" si="0"/>
        <v>Leadership Academy</v>
      </c>
      <c r="K62" s="170" t="str">
        <f t="shared" si="1"/>
        <v>Management</v>
      </c>
      <c r="L62" s="170" t="str">
        <f t="shared" si="2"/>
        <v>Jaipur</v>
      </c>
      <c r="M62" s="170" t="str">
        <f t="shared" si="3"/>
        <v>Education</v>
      </c>
    </row>
    <row r="63" spans="9:13">
      <c r="I63" s="10">
        <v>2008111234</v>
      </c>
      <c r="J63" s="170" t="str">
        <f t="shared" si="0"/>
        <v>Leadership Academy</v>
      </c>
      <c r="K63" s="170" t="str">
        <f t="shared" si="1"/>
        <v>Management</v>
      </c>
      <c r="L63" s="170" t="str">
        <f t="shared" si="2"/>
        <v>Jaipur</v>
      </c>
      <c r="M63" s="170" t="str">
        <f t="shared" si="3"/>
        <v>Education</v>
      </c>
    </row>
    <row r="64" spans="9:13">
      <c r="I64" s="10">
        <v>2008115678</v>
      </c>
      <c r="J64" s="170" t="str">
        <f t="shared" si="0"/>
        <v>Leadership Academy</v>
      </c>
      <c r="K64" s="170" t="str">
        <f t="shared" si="1"/>
        <v>Management</v>
      </c>
      <c r="L64" s="170" t="str">
        <f t="shared" si="2"/>
        <v>Jaipur</v>
      </c>
      <c r="M64" s="170" t="str">
        <f t="shared" si="3"/>
        <v>Education</v>
      </c>
    </row>
    <row r="65" spans="9:13">
      <c r="I65" s="10">
        <v>2007304396</v>
      </c>
      <c r="J65" s="170" t="str">
        <f t="shared" si="0"/>
        <v>Scholars Hub</v>
      </c>
      <c r="K65" s="170" t="str">
        <f t="shared" si="1"/>
        <v>Architecture</v>
      </c>
      <c r="L65" s="170" t="str">
        <f t="shared" si="2"/>
        <v>Patna</v>
      </c>
      <c r="M65" s="170" t="str">
        <f t="shared" si="3"/>
        <v>Education</v>
      </c>
    </row>
    <row r="66" spans="9:13">
      <c r="I66" s="10">
        <v>2007400912</v>
      </c>
      <c r="J66" s="170" t="str">
        <f t="shared" si="0"/>
        <v>Scholars Hub</v>
      </c>
      <c r="K66" s="170" t="str">
        <f t="shared" si="1"/>
        <v>Architecture</v>
      </c>
      <c r="L66" s="170" t="str">
        <f t="shared" si="2"/>
        <v>Patna</v>
      </c>
      <c r="M66" s="170" t="str">
        <f t="shared" si="3"/>
        <v>Education</v>
      </c>
    </row>
    <row r="67" spans="9:13">
      <c r="I67" s="10">
        <v>2007308888</v>
      </c>
      <c r="J67" s="170" t="str">
        <f t="shared" ref="J67:J75" si="4">INDEX($B$2:$B$33, MATCH("*"&amp;I67&amp;"*", $A$2:$A$33, 0))</f>
        <v>Scholars Hub</v>
      </c>
      <c r="K67" s="170" t="str">
        <f t="shared" ref="K67:K75" si="5">INDEX($D$2:$D$33, MATCH("*"&amp;I67&amp;"*", $A$2:$A$33, 0))</f>
        <v>Architecture</v>
      </c>
      <c r="L67" s="170" t="str">
        <f t="shared" ref="L67:L75" si="6">INDEX($E$2:$E$33, MATCH("*"&amp;I67&amp;"*", $A$2:$A$33, 0))</f>
        <v>Patna</v>
      </c>
      <c r="M67" s="170" t="str">
        <f t="shared" ref="M67:M75" si="7">INDEX($C$2:$C$33, MATCH("*"&amp;I67&amp;"*", $A$2:$A$33, 0))</f>
        <v>Education</v>
      </c>
    </row>
    <row r="68" spans="9:13">
      <c r="I68" s="10">
        <v>2007400975</v>
      </c>
      <c r="J68" s="170" t="str">
        <f t="shared" si="4"/>
        <v>Success Path Institute</v>
      </c>
      <c r="K68" s="170" t="str">
        <f t="shared" si="5"/>
        <v>Data Science</v>
      </c>
      <c r="L68" s="170" t="str">
        <f t="shared" si="6"/>
        <v>Ahmedabad</v>
      </c>
      <c r="M68" s="170" t="str">
        <f t="shared" si="7"/>
        <v>Education</v>
      </c>
    </row>
    <row r="69" spans="9:13">
      <c r="I69" s="10">
        <v>2008200000</v>
      </c>
      <c r="J69" s="170" t="str">
        <f t="shared" si="4"/>
        <v>Success Path Institute</v>
      </c>
      <c r="K69" s="170" t="str">
        <f t="shared" si="5"/>
        <v>Data Science</v>
      </c>
      <c r="L69" s="170" t="str">
        <f t="shared" si="6"/>
        <v>Ahmedabad</v>
      </c>
      <c r="M69" s="170" t="str">
        <f t="shared" si="7"/>
        <v>Education</v>
      </c>
    </row>
    <row r="70" spans="9:13">
      <c r="I70" s="10">
        <v>2007406666</v>
      </c>
      <c r="J70" s="170" t="str">
        <f t="shared" si="4"/>
        <v>Success Path Institute</v>
      </c>
      <c r="K70" s="170" t="str">
        <f t="shared" si="5"/>
        <v>Data Science</v>
      </c>
      <c r="L70" s="170" t="str">
        <f t="shared" si="6"/>
        <v>Ahmedabad</v>
      </c>
      <c r="M70" s="170" t="str">
        <f t="shared" si="7"/>
        <v>Education</v>
      </c>
    </row>
    <row r="71" spans="9:13">
      <c r="I71" s="10">
        <v>2008039685</v>
      </c>
      <c r="J71" s="170" t="str">
        <f t="shared" si="4"/>
        <v>Visionaries Academy</v>
      </c>
      <c r="K71" s="170" t="str">
        <f t="shared" si="5"/>
        <v>Biotechnology</v>
      </c>
      <c r="L71" s="170" t="str">
        <f t="shared" si="6"/>
        <v>Chandigarh</v>
      </c>
      <c r="M71" s="170" t="str">
        <f t="shared" si="7"/>
        <v>Education</v>
      </c>
    </row>
    <row r="72" spans="9:13">
      <c r="I72" s="10">
        <v>2007126280</v>
      </c>
      <c r="J72" s="170" t="str">
        <f t="shared" si="4"/>
        <v>Visionaries Academy</v>
      </c>
      <c r="K72" s="170" t="str">
        <f t="shared" si="5"/>
        <v>Biotechnology</v>
      </c>
      <c r="L72" s="170" t="str">
        <f t="shared" si="6"/>
        <v>Chandigarh</v>
      </c>
      <c r="M72" s="170" t="str">
        <f t="shared" si="7"/>
        <v>Education</v>
      </c>
    </row>
    <row r="73" spans="9:13">
      <c r="I73" s="10">
        <v>2008033456</v>
      </c>
      <c r="J73" s="170" t="str">
        <f t="shared" si="4"/>
        <v>Visionaries Academy</v>
      </c>
      <c r="K73" s="170" t="str">
        <f t="shared" si="5"/>
        <v>Biotechnology</v>
      </c>
      <c r="L73" s="170" t="str">
        <f t="shared" si="6"/>
        <v>Chandigarh</v>
      </c>
      <c r="M73" s="170" t="str">
        <f t="shared" si="7"/>
        <v>Education</v>
      </c>
    </row>
    <row r="74" spans="9:13">
      <c r="I74" s="10">
        <v>2008039999</v>
      </c>
      <c r="J74" s="170" t="str">
        <f t="shared" si="4"/>
        <v>Visionaries Academy</v>
      </c>
      <c r="K74" s="170" t="str">
        <f t="shared" si="5"/>
        <v>Biotechnology</v>
      </c>
      <c r="L74" s="170" t="str">
        <f t="shared" si="6"/>
        <v>Chandigarh</v>
      </c>
      <c r="M74" s="170" t="str">
        <f t="shared" si="7"/>
        <v>Education</v>
      </c>
    </row>
    <row r="75" spans="9:13">
      <c r="I75" s="10">
        <v>2007368290</v>
      </c>
      <c r="J75" s="170" t="str">
        <f t="shared" si="4"/>
        <v>Infinity Learning Center</v>
      </c>
      <c r="K75" s="170" t="str">
        <f t="shared" si="5"/>
        <v>Digital Marketing</v>
      </c>
      <c r="L75" s="170" t="str">
        <f t="shared" si="6"/>
        <v>Coimbatore</v>
      </c>
      <c r="M75" s="170" t="str">
        <f t="shared" si="7"/>
        <v>Education</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3C4BA-62D2-457E-8FDC-4EEE88AD4D5B}">
  <sheetPr>
    <tabColor theme="3" tint="0.749992370372631"/>
  </sheetPr>
  <dimension ref="A1:Q58"/>
  <sheetViews>
    <sheetView zoomScale="67" workbookViewId="0">
      <selection activeCell="L58" sqref="L58"/>
    </sheetView>
  </sheetViews>
  <sheetFormatPr defaultRowHeight="14.4"/>
  <cols>
    <col min="1" max="1" width="12.109375" customWidth="1"/>
    <col min="2" max="2" width="9.44140625" bestFit="1" customWidth="1"/>
    <col min="8" max="8" width="11.109375" customWidth="1"/>
    <col min="10" max="10" width="10.109375" customWidth="1"/>
    <col min="17" max="17" width="11.77734375" bestFit="1" customWidth="1"/>
  </cols>
  <sheetData>
    <row r="1" spans="1:8" ht="15.6">
      <c r="A1" s="34" t="s">
        <v>594</v>
      </c>
    </row>
    <row r="3" spans="1:8" ht="14.4" customHeight="1">
      <c r="A3" s="181" t="s">
        <v>593</v>
      </c>
      <c r="B3" s="181"/>
      <c r="C3" s="181"/>
      <c r="D3" s="181"/>
      <c r="E3" s="181"/>
      <c r="F3" s="181"/>
      <c r="G3" s="181"/>
      <c r="H3" s="181"/>
    </row>
    <row r="4" spans="1:8" ht="57" customHeight="1">
      <c r="A4" s="181"/>
      <c r="B4" s="181"/>
      <c r="C4" s="181"/>
      <c r="D4" s="181"/>
      <c r="E4" s="181"/>
      <c r="F4" s="181"/>
      <c r="G4" s="181"/>
      <c r="H4" s="181"/>
    </row>
    <row r="5" spans="1:8" ht="15.6">
      <c r="A5" s="34" t="s">
        <v>592</v>
      </c>
    </row>
    <row r="7" spans="1:8">
      <c r="A7" s="45" t="s">
        <v>591</v>
      </c>
    </row>
    <row r="9" spans="1:8" ht="28.8">
      <c r="A9" s="44" t="s">
        <v>405</v>
      </c>
      <c r="B9" s="44" t="s">
        <v>121</v>
      </c>
      <c r="C9" s="44" t="s">
        <v>124</v>
      </c>
      <c r="D9" s="44" t="s">
        <v>581</v>
      </c>
    </row>
    <row r="10" spans="1:8" ht="28.8">
      <c r="A10" s="43" t="s">
        <v>442</v>
      </c>
      <c r="B10" s="43" t="s">
        <v>441</v>
      </c>
      <c r="C10" s="43" t="s">
        <v>129</v>
      </c>
      <c r="D10" s="43" t="s">
        <v>578</v>
      </c>
    </row>
    <row r="11" spans="1:8" ht="28.8">
      <c r="A11" s="43" t="s">
        <v>440</v>
      </c>
      <c r="B11" s="43" t="s">
        <v>590</v>
      </c>
      <c r="C11" s="43" t="s">
        <v>132</v>
      </c>
      <c r="D11" s="43" t="s">
        <v>577</v>
      </c>
    </row>
    <row r="12" spans="1:8" ht="28.8">
      <c r="A12" s="43" t="s">
        <v>438</v>
      </c>
      <c r="B12" s="43" t="s">
        <v>589</v>
      </c>
      <c r="C12" s="43" t="s">
        <v>260</v>
      </c>
      <c r="D12" s="43" t="s">
        <v>576</v>
      </c>
    </row>
    <row r="13" spans="1:8" ht="28.8">
      <c r="A13" s="43" t="s">
        <v>436</v>
      </c>
      <c r="B13" s="43" t="s">
        <v>92</v>
      </c>
      <c r="C13" s="43" t="s">
        <v>135</v>
      </c>
      <c r="D13" s="43" t="s">
        <v>575</v>
      </c>
    </row>
    <row r="14" spans="1:8" ht="28.8">
      <c r="A14" s="43" t="s">
        <v>434</v>
      </c>
      <c r="B14" s="43" t="s">
        <v>377</v>
      </c>
      <c r="C14" s="43" t="s">
        <v>132</v>
      </c>
      <c r="D14" s="43" t="s">
        <v>574</v>
      </c>
    </row>
    <row r="16" spans="1:8">
      <c r="A16" s="45" t="s">
        <v>588</v>
      </c>
    </row>
    <row r="18" spans="1:3">
      <c r="A18" s="44" t="s">
        <v>124</v>
      </c>
      <c r="B18" s="44" t="s">
        <v>587</v>
      </c>
    </row>
    <row r="19" spans="1:3">
      <c r="A19" s="43" t="s">
        <v>129</v>
      </c>
      <c r="B19" s="43" t="s">
        <v>586</v>
      </c>
    </row>
    <row r="20" spans="1:3">
      <c r="A20" s="43" t="s">
        <v>132</v>
      </c>
      <c r="B20" s="43" t="s">
        <v>585</v>
      </c>
    </row>
    <row r="21" spans="1:3">
      <c r="A21" s="43" t="s">
        <v>260</v>
      </c>
      <c r="B21" s="43" t="s">
        <v>584</v>
      </c>
    </row>
    <row r="22" spans="1:3">
      <c r="A22" s="43" t="s">
        <v>135</v>
      </c>
      <c r="B22" s="43" t="s">
        <v>583</v>
      </c>
    </row>
    <row r="24" spans="1:3">
      <c r="A24" s="45" t="s">
        <v>582</v>
      </c>
    </row>
    <row r="26" spans="1:3" ht="28.8">
      <c r="A26" s="44" t="s">
        <v>581</v>
      </c>
      <c r="B26" s="44" t="s">
        <v>580</v>
      </c>
      <c r="C26" s="44" t="s">
        <v>579</v>
      </c>
    </row>
    <row r="27" spans="1:3">
      <c r="A27" s="43" t="s">
        <v>578</v>
      </c>
      <c r="B27" s="42">
        <v>80000</v>
      </c>
      <c r="C27" s="41">
        <v>0.15</v>
      </c>
    </row>
    <row r="28" spans="1:3">
      <c r="A28" s="43" t="s">
        <v>577</v>
      </c>
      <c r="B28" s="42">
        <v>70000</v>
      </c>
      <c r="C28" s="41">
        <v>0.1</v>
      </c>
    </row>
    <row r="29" spans="1:3">
      <c r="A29" s="43" t="s">
        <v>576</v>
      </c>
      <c r="B29" s="42">
        <v>65000</v>
      </c>
      <c r="C29" s="41">
        <v>0.12</v>
      </c>
    </row>
    <row r="30" spans="1:3">
      <c r="A30" s="43" t="s">
        <v>575</v>
      </c>
      <c r="B30" s="42">
        <v>50000</v>
      </c>
      <c r="C30" s="41">
        <v>0.08</v>
      </c>
    </row>
    <row r="31" spans="1:3">
      <c r="A31" s="43" t="s">
        <v>574</v>
      </c>
      <c r="B31" s="42">
        <v>90000</v>
      </c>
      <c r="C31" s="41">
        <v>0.2</v>
      </c>
    </row>
    <row r="34" spans="1:17" ht="18">
      <c r="A34" s="33" t="s">
        <v>430</v>
      </c>
    </row>
    <row r="35" spans="1:17">
      <c r="A35" s="32"/>
    </row>
    <row r="36" spans="1:17">
      <c r="A36" s="30" t="s">
        <v>573</v>
      </c>
    </row>
    <row r="37" spans="1:17">
      <c r="A37" s="32" t="s">
        <v>572</v>
      </c>
      <c r="L37" s="162" t="str">
        <f>VLOOKUP( TRIM(VLOOKUP("Emily Davis", B9:D14, 2, FALSE)), A19:B22, 2, FALSE)</f>
        <v>Building D</v>
      </c>
    </row>
    <row r="38" spans="1:17">
      <c r="A38" s="32"/>
    </row>
    <row r="39" spans="1:17">
      <c r="A39" s="30" t="s">
        <v>571</v>
      </c>
    </row>
    <row r="40" spans="1:17">
      <c r="A40" s="32" t="s">
        <v>570</v>
      </c>
      <c r="Q40" s="232">
        <f>VLOOKUP( VLOOKUP("Robert Brown",$B$10:$D$14,3,FALSE), $A$27:$C$31, 2, FALSE ) *
(1 + VLOOKUP( VLOOKUP("Robert Brown",$B$10:$D$14,3,FALSE), $A$27:$C$31, 3, FALSE ))</f>
        <v>72800</v>
      </c>
    </row>
    <row r="41" spans="1:17">
      <c r="A41" s="32"/>
    </row>
    <row r="42" spans="1:17">
      <c r="A42" s="30" t="s">
        <v>569</v>
      </c>
    </row>
    <row r="43" spans="1:17">
      <c r="A43" s="32" t="s">
        <v>568</v>
      </c>
      <c r="M43" s="162" t="s">
        <v>442</v>
      </c>
      <c r="N43" s="162">
        <f>VLOOKUP(VLOOKUP(M43,$A$10:$D$14,4,FALSE),$A$27:$C$31,2,FALSE)*(1+VLOOKUP(VLOOKUP(M43,$A$10:$D$14,4,FALSE),$A$27:$C$31,3,FALSE))</f>
        <v>92000</v>
      </c>
    </row>
    <row r="44" spans="1:17">
      <c r="A44" s="32"/>
    </row>
    <row r="45" spans="1:17">
      <c r="A45" s="30" t="s">
        <v>567</v>
      </c>
      <c r="L45" s="162" t="s">
        <v>984</v>
      </c>
    </row>
    <row r="46" spans="1:17">
      <c r="A46" s="32" t="s">
        <v>566</v>
      </c>
      <c r="L46" s="162" t="str">
        <f>IFERROR(VLOOKUP(VLOOKUP(L45,$A$10:$D$14,4,FALSE),$A$27:$C$31,2,FALSE)*(1+VLOOKUP(VLOOKUP(L45,$A$10:$D$14,4,FALSE),$A$27:$C$31,3,FALSE)),"Employee Not Found")</f>
        <v>Employee Not Found</v>
      </c>
      <c r="M46" s="162"/>
    </row>
    <row r="47" spans="1:17">
      <c r="A47" s="32"/>
    </row>
    <row r="48" spans="1:17">
      <c r="A48" s="30" t="s">
        <v>565</v>
      </c>
    </row>
    <row r="49" spans="1:15">
      <c r="A49" s="32" t="s">
        <v>564</v>
      </c>
      <c r="K49" s="162" cm="1">
        <f t="array" ref="K49">SUMPRODUCT(( $C$10:$C$14="IT" ) * ( VLOOKUP($D$10:$D$14,$A$27:$C$31,2,FALSE) ))</f>
        <v>160000</v>
      </c>
    </row>
    <row r="50" spans="1:15">
      <c r="A50" s="32"/>
    </row>
    <row r="51" spans="1:15">
      <c r="A51" s="30" t="s">
        <v>563</v>
      </c>
    </row>
    <row r="52" spans="1:15">
      <c r="A52" s="32" t="s">
        <v>562</v>
      </c>
      <c r="N52" s="162">
        <f>VLOOKUP(VLOOKUP("Michael Johnson",$B$10:$D$14,3,FALSE),$A$27:$C$31,2,FALSE) * VLOOKUP(VLOOKUP("Michael Johnson",$B$10:$D$14,3,FALSE),$A$27:$C$31,3,FALSE)</f>
        <v>18000</v>
      </c>
    </row>
    <row r="53" spans="1:15">
      <c r="A53" s="32"/>
    </row>
    <row r="54" spans="1:15">
      <c r="A54" s="30" t="s">
        <v>561</v>
      </c>
    </row>
    <row r="55" spans="1:15">
      <c r="A55" s="32" t="s">
        <v>560</v>
      </c>
      <c r="O55" s="162" t="str">
        <f>IF(TRIM(CLEAN(VLOOKUP(VLOOKUP("John Smith",$B$10:$C$14,2,0),$A$19:$B$22,2,0)))=TRIM("Building A"),"TRUE","FALSE")</f>
        <v>TRUE</v>
      </c>
    </row>
    <row r="56" spans="1:15">
      <c r="A56" s="32"/>
    </row>
    <row r="57" spans="1:15">
      <c r="A57" s="30" t="s">
        <v>559</v>
      </c>
    </row>
    <row r="58" spans="1:15">
      <c r="A58" s="32" t="s">
        <v>558</v>
      </c>
      <c r="L58" s="162" cm="1">
        <f t="array" ref="L58">SUMPRODUCT((TRIM($C$10:$C$14)=TRIM(INDEX($A$19:$A$22,MATCH(TRIM("Building D"),$B$19:$B$22,0))))*IFERROR(INDEX($B$27:$B$31,MATCH($D$10:$D$14,$A$27:$A$31,0)),0)*(1+IFERROR(INDEX($C$27:$C$31,MATCH($D$10:$D$14,$A$27:$A$31,0)),0)))</f>
        <v>54000</v>
      </c>
    </row>
  </sheetData>
  <mergeCells count="1">
    <mergeCell ref="A3:H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2BE2A-6C74-4730-B1DD-71312D5B63B7}">
  <sheetPr>
    <tabColor theme="3" tint="0.749992370372631"/>
  </sheetPr>
  <dimension ref="A1:L28"/>
  <sheetViews>
    <sheetView topLeftCell="A27" workbookViewId="0">
      <selection activeCell="I1" sqref="I1:L28"/>
    </sheetView>
  </sheetViews>
  <sheetFormatPr defaultColWidth="8.88671875" defaultRowHeight="14.4"/>
  <cols>
    <col min="1" max="1" width="13.33203125" style="4" bestFit="1" customWidth="1"/>
    <col min="2" max="2" width="11" style="4" customWidth="1"/>
    <col min="3" max="3" width="10" style="4" customWidth="1"/>
    <col min="4" max="4" width="6.6640625" style="4" customWidth="1"/>
    <col min="5" max="5" width="12.5546875" style="4" customWidth="1"/>
    <col min="6" max="6" width="8.6640625" style="4" customWidth="1"/>
    <col min="7" max="7" width="8.88671875" style="4"/>
    <col min="8" max="8" width="26.6640625" style="4" customWidth="1"/>
    <col min="9" max="16384" width="8.88671875" style="4"/>
  </cols>
  <sheetData>
    <row r="1" spans="1:12" ht="15">
      <c r="A1" s="1" t="s">
        <v>0</v>
      </c>
      <c r="B1" s="1" t="s">
        <v>1</v>
      </c>
      <c r="C1" s="1" t="s">
        <v>2</v>
      </c>
      <c r="D1" s="1" t="s">
        <v>3</v>
      </c>
      <c r="E1" s="1" t="s">
        <v>4</v>
      </c>
      <c r="F1" s="1" t="s">
        <v>5</v>
      </c>
      <c r="H1" s="7" t="s">
        <v>66</v>
      </c>
      <c r="I1" s="198">
        <v>1</v>
      </c>
      <c r="J1" s="199">
        <v>2</v>
      </c>
      <c r="K1" s="199">
        <v>3</v>
      </c>
      <c r="L1" s="199">
        <v>4</v>
      </c>
    </row>
    <row r="2" spans="1:12" ht="45">
      <c r="A2" s="3" t="s">
        <v>6</v>
      </c>
      <c r="B2" s="3" t="s">
        <v>7</v>
      </c>
      <c r="C2" s="3">
        <v>142</v>
      </c>
      <c r="D2" s="3">
        <v>1994</v>
      </c>
      <c r="E2" s="3" t="s">
        <v>8</v>
      </c>
      <c r="F2" s="3">
        <v>9.1999999999999993</v>
      </c>
      <c r="H2" s="6" t="s">
        <v>919</v>
      </c>
      <c r="I2" s="170" t="b" cm="1">
        <f t="array" ref="I2:I28">ISBLANK(Table1[Year])</f>
        <v>0</v>
      </c>
      <c r="J2" s="162" t="b" cm="1">
        <f t="array" ref="J2:J28">ISNUMBER(Table1[Minutes])</f>
        <v>1</v>
      </c>
      <c r="K2" s="162" t="b" cm="1">
        <f t="array" ref="K2:K28">ISTEXT(Table1[Movie Title])</f>
        <v>1</v>
      </c>
      <c r="L2" s="162" t="b" cm="1">
        <f t="array" ref="L2:L28">ISERROR(Table1[Rating])</f>
        <v>0</v>
      </c>
    </row>
    <row r="3" spans="1:12" ht="30">
      <c r="A3" s="3" t="s">
        <v>9</v>
      </c>
      <c r="B3" s="3" t="s">
        <v>7</v>
      </c>
      <c r="C3" s="3">
        <v>175</v>
      </c>
      <c r="D3" s="3">
        <v>1972</v>
      </c>
      <c r="E3" s="3" t="s">
        <v>10</v>
      </c>
      <c r="F3" s="3">
        <v>9.1999999999999993</v>
      </c>
      <c r="H3" s="6" t="s">
        <v>920</v>
      </c>
      <c r="I3" s="170" t="b">
        <v>0</v>
      </c>
      <c r="J3" s="162" t="b">
        <v>1</v>
      </c>
      <c r="K3" s="162" t="b">
        <v>1</v>
      </c>
      <c r="L3" s="162" t="b">
        <v>0</v>
      </c>
    </row>
    <row r="4" spans="1:12" ht="30">
      <c r="A4" s="3" t="s">
        <v>11</v>
      </c>
      <c r="B4" s="3" t="s">
        <v>12</v>
      </c>
      <c r="C4" s="3">
        <v>154</v>
      </c>
      <c r="D4" s="3">
        <v>1994</v>
      </c>
      <c r="E4" s="3" t="s">
        <v>13</v>
      </c>
      <c r="F4" s="3">
        <v>8.9</v>
      </c>
      <c r="H4" s="6" t="s">
        <v>921</v>
      </c>
      <c r="I4" s="170" t="b">
        <v>0</v>
      </c>
      <c r="J4" s="162" t="b">
        <v>1</v>
      </c>
      <c r="K4" s="162" t="b">
        <v>1</v>
      </c>
      <c r="L4" s="162" t="b">
        <v>0</v>
      </c>
    </row>
    <row r="5" spans="1:12" ht="30">
      <c r="A5" s="3" t="s">
        <v>14</v>
      </c>
      <c r="B5" s="3" t="s">
        <v>7</v>
      </c>
      <c r="C5" s="3">
        <v>195</v>
      </c>
      <c r="D5" s="3">
        <v>1993</v>
      </c>
      <c r="E5" s="3" t="s">
        <v>15</v>
      </c>
      <c r="F5" s="3">
        <v>8.9</v>
      </c>
      <c r="H5" s="6" t="s">
        <v>922</v>
      </c>
      <c r="I5" s="170" t="b">
        <v>0</v>
      </c>
      <c r="J5" s="162" t="b">
        <v>1</v>
      </c>
      <c r="K5" s="162" t="b">
        <v>1</v>
      </c>
      <c r="L5" s="162" t="b">
        <v>0</v>
      </c>
    </row>
    <row r="6" spans="1:12" ht="30">
      <c r="A6" s="3" t="s">
        <v>16</v>
      </c>
      <c r="B6" s="3" t="s">
        <v>7</v>
      </c>
      <c r="C6" s="3">
        <v>96</v>
      </c>
      <c r="D6" s="3">
        <v>1957</v>
      </c>
      <c r="E6" s="3" t="s">
        <v>17</v>
      </c>
      <c r="F6" s="3">
        <v>8.9</v>
      </c>
      <c r="I6" s="162" t="b">
        <v>0</v>
      </c>
      <c r="J6" s="162" t="b">
        <v>1</v>
      </c>
      <c r="K6" s="162" t="b">
        <v>1</v>
      </c>
      <c r="L6" s="162" t="b">
        <v>0</v>
      </c>
    </row>
    <row r="7" spans="1:12" ht="45">
      <c r="A7" s="3" t="s">
        <v>18</v>
      </c>
      <c r="B7" s="3" t="s">
        <v>7</v>
      </c>
      <c r="C7" s="3">
        <v>133</v>
      </c>
      <c r="D7" s="3">
        <v>1975</v>
      </c>
      <c r="E7" s="3" t="s">
        <v>19</v>
      </c>
      <c r="F7" s="3">
        <v>8.8000000000000007</v>
      </c>
      <c r="I7" s="162" t="b">
        <v>0</v>
      </c>
      <c r="J7" s="162" t="b">
        <v>1</v>
      </c>
      <c r="K7" s="162" t="b">
        <v>1</v>
      </c>
      <c r="L7" s="162" t="b">
        <v>0</v>
      </c>
    </row>
    <row r="8" spans="1:12" ht="30">
      <c r="A8" s="3" t="s">
        <v>20</v>
      </c>
      <c r="B8" s="3" t="s">
        <v>21</v>
      </c>
      <c r="C8" s="3">
        <v>152</v>
      </c>
      <c r="D8" s="3">
        <v>2008</v>
      </c>
      <c r="E8" s="3" t="s">
        <v>22</v>
      </c>
      <c r="F8" s="3">
        <v>8.8000000000000007</v>
      </c>
      <c r="I8" s="162" t="b">
        <v>0</v>
      </c>
      <c r="J8" s="162" t="b">
        <v>1</v>
      </c>
      <c r="K8" s="162" t="b">
        <v>1</v>
      </c>
      <c r="L8" s="162" t="b">
        <v>0</v>
      </c>
    </row>
    <row r="9" spans="1:12" ht="15">
      <c r="A9" s="3" t="s">
        <v>23</v>
      </c>
      <c r="B9" s="3" t="s">
        <v>21</v>
      </c>
      <c r="C9" s="3">
        <v>121</v>
      </c>
      <c r="D9" s="3">
        <v>1977</v>
      </c>
      <c r="E9" s="3" t="s">
        <v>24</v>
      </c>
      <c r="F9" s="3">
        <v>8.3000000000000007</v>
      </c>
      <c r="I9" s="162" t="b">
        <v>0</v>
      </c>
      <c r="J9" s="162" t="b">
        <v>1</v>
      </c>
      <c r="K9" s="162" t="b">
        <v>1</v>
      </c>
      <c r="L9" s="162" t="b">
        <v>0</v>
      </c>
    </row>
    <row r="10" spans="1:12" ht="30">
      <c r="A10" s="3" t="s">
        <v>25</v>
      </c>
      <c r="B10" s="3" t="s">
        <v>7</v>
      </c>
      <c r="C10" s="3">
        <v>102</v>
      </c>
      <c r="D10" s="3">
        <v>1942</v>
      </c>
      <c r="E10" s="3" t="s">
        <v>26</v>
      </c>
      <c r="F10" s="3">
        <v>8.8000000000000007</v>
      </c>
      <c r="I10" s="162" t="b">
        <v>0</v>
      </c>
      <c r="J10" s="162" t="b">
        <v>1</v>
      </c>
      <c r="K10" s="162" t="b">
        <v>1</v>
      </c>
      <c r="L10" s="162" t="b">
        <v>0</v>
      </c>
    </row>
    <row r="11" spans="1:12" ht="30">
      <c r="A11" s="3" t="s">
        <v>27</v>
      </c>
      <c r="B11" s="3" t="s">
        <v>7</v>
      </c>
      <c r="C11" s="3">
        <v>146</v>
      </c>
      <c r="D11" s="3">
        <v>1981</v>
      </c>
      <c r="E11" s="3" t="s">
        <v>28</v>
      </c>
      <c r="F11" s="3">
        <v>8.8000000000000007</v>
      </c>
      <c r="I11" s="162" t="b">
        <v>0</v>
      </c>
      <c r="J11" s="162" t="b">
        <v>1</v>
      </c>
      <c r="K11" s="162" t="b">
        <v>1</v>
      </c>
      <c r="L11" s="162" t="b">
        <v>0</v>
      </c>
    </row>
    <row r="12" spans="1:12" ht="30">
      <c r="A12" s="3" t="s">
        <v>29</v>
      </c>
      <c r="B12" s="3" t="s">
        <v>21</v>
      </c>
      <c r="C12" s="3">
        <v>115</v>
      </c>
      <c r="D12" s="3">
        <v>1981</v>
      </c>
      <c r="E12" s="3" t="s">
        <v>30</v>
      </c>
      <c r="F12" s="3">
        <v>8.6999999999999993</v>
      </c>
      <c r="I12" s="162" t="b">
        <v>0</v>
      </c>
      <c r="J12" s="162" t="b">
        <v>1</v>
      </c>
      <c r="K12" s="162" t="b">
        <v>1</v>
      </c>
      <c r="L12" s="162" t="b">
        <v>0</v>
      </c>
    </row>
    <row r="13" spans="1:12" ht="30">
      <c r="A13" s="3" t="s">
        <v>31</v>
      </c>
      <c r="B13" s="3" t="s">
        <v>12</v>
      </c>
      <c r="C13" s="3">
        <v>112</v>
      </c>
      <c r="D13" s="3">
        <v>1954</v>
      </c>
      <c r="E13" s="3" t="s">
        <v>32</v>
      </c>
      <c r="F13" s="3">
        <v>8.6999999999999993</v>
      </c>
      <c r="I13" s="162" t="b">
        <v>0</v>
      </c>
      <c r="J13" s="162" t="b">
        <v>1</v>
      </c>
      <c r="K13" s="162" t="b">
        <v>1</v>
      </c>
      <c r="L13" s="162" t="b">
        <v>0</v>
      </c>
    </row>
    <row r="14" spans="1:12" ht="30">
      <c r="A14" s="3" t="s">
        <v>33</v>
      </c>
      <c r="B14" s="3" t="s">
        <v>34</v>
      </c>
      <c r="C14" s="3">
        <v>136</v>
      </c>
      <c r="D14" s="3">
        <v>1999</v>
      </c>
      <c r="E14" s="3" t="s">
        <v>35</v>
      </c>
      <c r="F14" s="3">
        <v>8.6</v>
      </c>
      <c r="I14" s="162" t="b">
        <v>0</v>
      </c>
      <c r="J14" s="162" t="b">
        <v>1</v>
      </c>
      <c r="K14" s="162" t="b">
        <v>1</v>
      </c>
      <c r="L14" s="162" t="b">
        <v>0</v>
      </c>
    </row>
    <row r="15" spans="1:12" ht="45">
      <c r="A15" s="3" t="s">
        <v>36</v>
      </c>
      <c r="B15" s="3" t="s">
        <v>37</v>
      </c>
      <c r="C15" s="3">
        <v>130</v>
      </c>
      <c r="D15" s="3">
        <v>1946</v>
      </c>
      <c r="E15" s="3" t="s">
        <v>32</v>
      </c>
      <c r="F15" s="3">
        <v>8.6</v>
      </c>
      <c r="I15" s="162" t="b">
        <v>0</v>
      </c>
      <c r="J15" s="162" t="b">
        <v>1</v>
      </c>
      <c r="K15" s="162" t="b">
        <v>1</v>
      </c>
      <c r="L15" s="162" t="b">
        <v>0</v>
      </c>
    </row>
    <row r="16" spans="1:12" ht="30">
      <c r="A16" s="3" t="s">
        <v>38</v>
      </c>
      <c r="B16" s="3" t="s">
        <v>39</v>
      </c>
      <c r="C16" s="3">
        <v>93</v>
      </c>
      <c r="D16" s="3">
        <v>1964</v>
      </c>
      <c r="E16" s="3" t="s">
        <v>40</v>
      </c>
      <c r="F16" s="3">
        <v>8.6</v>
      </c>
      <c r="I16" s="162" t="b">
        <v>0</v>
      </c>
      <c r="J16" s="162" t="b">
        <v>1</v>
      </c>
      <c r="K16" s="162" t="b">
        <v>1</v>
      </c>
      <c r="L16" s="162" t="b">
        <v>0</v>
      </c>
    </row>
    <row r="17" spans="1:12" ht="30">
      <c r="A17" s="3" t="s">
        <v>41</v>
      </c>
      <c r="B17" s="3" t="s">
        <v>21</v>
      </c>
      <c r="C17" s="3">
        <v>131</v>
      </c>
      <c r="D17" s="3">
        <v>1959</v>
      </c>
      <c r="E17" s="3" t="s">
        <v>42</v>
      </c>
      <c r="F17" s="3">
        <v>8.6</v>
      </c>
      <c r="I17" s="162" t="b">
        <v>0</v>
      </c>
      <c r="J17" s="162" t="b">
        <v>1</v>
      </c>
      <c r="K17" s="162" t="b">
        <v>1</v>
      </c>
      <c r="L17" s="162" t="b">
        <v>0</v>
      </c>
    </row>
    <row r="18" spans="1:12" ht="15">
      <c r="A18" s="3" t="s">
        <v>43</v>
      </c>
      <c r="B18" s="3" t="s">
        <v>7</v>
      </c>
      <c r="C18" s="3">
        <v>119</v>
      </c>
      <c r="D18" s="3">
        <v>1941</v>
      </c>
      <c r="E18" s="3" t="s">
        <v>44</v>
      </c>
      <c r="F18" s="3">
        <v>8.6</v>
      </c>
      <c r="I18" s="162" t="b">
        <v>0</v>
      </c>
      <c r="J18" s="162" t="b">
        <v>1</v>
      </c>
      <c r="K18" s="162" t="b">
        <v>1</v>
      </c>
      <c r="L18" s="162" t="b">
        <v>0</v>
      </c>
    </row>
    <row r="19" spans="1:12" ht="15">
      <c r="A19" s="3" t="s">
        <v>45</v>
      </c>
      <c r="B19" s="3" t="s">
        <v>39</v>
      </c>
      <c r="C19" s="3">
        <v>142</v>
      </c>
      <c r="D19" s="3">
        <v>1994</v>
      </c>
      <c r="E19" s="3" t="s">
        <v>46</v>
      </c>
      <c r="F19" s="3">
        <v>8.6</v>
      </c>
      <c r="I19" s="162" t="b">
        <v>0</v>
      </c>
      <c r="J19" s="162" t="b">
        <v>1</v>
      </c>
      <c r="K19" s="162" t="b">
        <v>1</v>
      </c>
      <c r="L19" s="162" t="b">
        <v>0</v>
      </c>
    </row>
    <row r="20" spans="1:12" ht="45">
      <c r="A20" s="3" t="s">
        <v>47</v>
      </c>
      <c r="B20" s="3" t="s">
        <v>39</v>
      </c>
      <c r="C20" s="3">
        <v>91</v>
      </c>
      <c r="D20" s="3">
        <v>1975</v>
      </c>
      <c r="E20" s="3" t="s">
        <v>48</v>
      </c>
      <c r="F20" s="3">
        <v>8.4</v>
      </c>
      <c r="I20" s="162" t="b">
        <v>0</v>
      </c>
      <c r="J20" s="162" t="b">
        <v>1</v>
      </c>
      <c r="K20" s="162" t="b">
        <v>1</v>
      </c>
      <c r="L20" s="162" t="b">
        <v>0</v>
      </c>
    </row>
    <row r="21" spans="1:12" ht="15">
      <c r="A21" s="3" t="s">
        <v>49</v>
      </c>
      <c r="B21" s="3" t="s">
        <v>37</v>
      </c>
      <c r="C21" s="3">
        <v>96</v>
      </c>
      <c r="D21" s="3">
        <v>2009</v>
      </c>
      <c r="E21" s="3" t="s">
        <v>50</v>
      </c>
      <c r="F21" s="3">
        <v>8.4</v>
      </c>
      <c r="I21" s="162" t="b">
        <v>0</v>
      </c>
      <c r="J21" s="162" t="b">
        <v>1</v>
      </c>
      <c r="K21" s="162" t="b">
        <v>1</v>
      </c>
      <c r="L21" s="162" t="b">
        <v>0</v>
      </c>
    </row>
    <row r="22" spans="1:12" ht="30">
      <c r="A22" s="3" t="s">
        <v>51</v>
      </c>
      <c r="B22" s="3" t="s">
        <v>52</v>
      </c>
      <c r="C22" s="3">
        <v>103</v>
      </c>
      <c r="D22" s="3">
        <v>1952</v>
      </c>
      <c r="E22" s="3" t="s">
        <v>53</v>
      </c>
      <c r="F22" s="3">
        <v>8.4</v>
      </c>
      <c r="I22" s="162" t="b">
        <v>0</v>
      </c>
      <c r="J22" s="162" t="b">
        <v>1</v>
      </c>
      <c r="K22" s="162" t="b">
        <v>1</v>
      </c>
      <c r="L22" s="162" t="b">
        <v>0</v>
      </c>
    </row>
    <row r="23" spans="1:12" ht="30">
      <c r="A23" s="3" t="s">
        <v>54</v>
      </c>
      <c r="B23" s="3" t="s">
        <v>34</v>
      </c>
      <c r="C23" s="3">
        <v>141</v>
      </c>
      <c r="D23" s="3">
        <v>1968</v>
      </c>
      <c r="E23" s="3" t="s">
        <v>55</v>
      </c>
      <c r="F23" s="3">
        <v>8.4</v>
      </c>
      <c r="I23" s="162" t="b">
        <v>0</v>
      </c>
      <c r="J23" s="162" t="b">
        <v>1</v>
      </c>
      <c r="K23" s="162" t="b">
        <v>1</v>
      </c>
      <c r="L23" s="162" t="b">
        <v>0</v>
      </c>
    </row>
    <row r="24" spans="1:12" ht="30">
      <c r="A24" s="3" t="s">
        <v>56</v>
      </c>
      <c r="B24" s="3" t="s">
        <v>37</v>
      </c>
      <c r="C24" s="3">
        <v>116</v>
      </c>
      <c r="D24" s="3">
        <v>1985</v>
      </c>
      <c r="E24" s="3" t="s">
        <v>57</v>
      </c>
      <c r="F24" s="3">
        <v>8.3000000000000007</v>
      </c>
      <c r="I24" s="162" t="b">
        <v>0</v>
      </c>
      <c r="J24" s="162" t="b">
        <v>1</v>
      </c>
      <c r="K24" s="162" t="b">
        <v>1</v>
      </c>
      <c r="L24" s="162" t="b">
        <v>0</v>
      </c>
    </row>
    <row r="25" spans="1:12" ht="15">
      <c r="A25" s="3" t="s">
        <v>58</v>
      </c>
      <c r="B25" s="3" t="s">
        <v>7</v>
      </c>
      <c r="C25" s="3">
        <v>138</v>
      </c>
      <c r="D25" s="3">
        <v>1950</v>
      </c>
      <c r="E25" s="3" t="s">
        <v>59</v>
      </c>
      <c r="F25" s="3">
        <v>8.3000000000000007</v>
      </c>
      <c r="I25" s="162" t="b">
        <v>0</v>
      </c>
      <c r="J25" s="162" t="b">
        <v>1</v>
      </c>
      <c r="K25" s="162" t="b">
        <v>1</v>
      </c>
      <c r="L25" s="162" t="b">
        <v>0</v>
      </c>
    </row>
    <row r="26" spans="1:12" ht="30">
      <c r="A26" s="3" t="s">
        <v>60</v>
      </c>
      <c r="B26" s="3" t="s">
        <v>52</v>
      </c>
      <c r="C26" s="3">
        <v>101</v>
      </c>
      <c r="D26" s="3">
        <v>1939</v>
      </c>
      <c r="E26" s="3" t="s">
        <v>61</v>
      </c>
      <c r="F26" s="3">
        <v>8.1999999999999993</v>
      </c>
      <c r="I26" s="162" t="b">
        <v>0</v>
      </c>
      <c r="J26" s="162" t="b">
        <v>1</v>
      </c>
      <c r="K26" s="162" t="b">
        <v>1</v>
      </c>
      <c r="L26" s="162" t="b">
        <v>0</v>
      </c>
    </row>
    <row r="27" spans="1:12" ht="30">
      <c r="A27" s="3" t="s">
        <v>62</v>
      </c>
      <c r="B27" s="3" t="s">
        <v>37</v>
      </c>
      <c r="C27" s="3">
        <v>111</v>
      </c>
      <c r="D27" s="3">
        <v>2007</v>
      </c>
      <c r="E27" s="3" t="s">
        <v>63</v>
      </c>
      <c r="F27" s="3">
        <v>8.1</v>
      </c>
      <c r="I27" s="162" t="b">
        <v>0</v>
      </c>
      <c r="J27" s="162" t="b">
        <v>1</v>
      </c>
      <c r="K27" s="162" t="b">
        <v>1</v>
      </c>
      <c r="L27" s="162" t="b">
        <v>0</v>
      </c>
    </row>
    <row r="28" spans="1:12" ht="30">
      <c r="A28" s="3" t="s">
        <v>64</v>
      </c>
      <c r="B28" s="3" t="s">
        <v>37</v>
      </c>
      <c r="C28" s="3">
        <v>92</v>
      </c>
      <c r="D28" s="3">
        <v>2001</v>
      </c>
      <c r="E28" s="3" t="s">
        <v>65</v>
      </c>
      <c r="F28" s="3">
        <v>7.9</v>
      </c>
      <c r="I28" s="162" t="b">
        <v>0</v>
      </c>
      <c r="J28" s="162" t="b">
        <v>1</v>
      </c>
      <c r="K28" s="162" t="b">
        <v>1</v>
      </c>
      <c r="L28" s="162" t="b">
        <v>0</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DFA34-AE69-4727-9266-9FA968F3B14D}">
  <sheetPr>
    <tabColor theme="3" tint="0.749992370372631"/>
  </sheetPr>
  <dimension ref="A1:I18"/>
  <sheetViews>
    <sheetView zoomScale="119" workbookViewId="0">
      <selection activeCell="H19" sqref="H19"/>
    </sheetView>
  </sheetViews>
  <sheetFormatPr defaultColWidth="8.88671875" defaultRowHeight="14.4"/>
  <cols>
    <col min="1" max="1" width="17.33203125" style="4" bestFit="1" customWidth="1"/>
    <col min="2" max="2" width="10.33203125" style="4" customWidth="1"/>
    <col min="3" max="3" width="14.109375" style="4" customWidth="1"/>
    <col min="4" max="4" width="8.88671875" style="4"/>
    <col min="5" max="5" width="13.109375" style="4" customWidth="1"/>
    <col min="6" max="7" width="8.88671875" style="4"/>
    <col min="8" max="8" width="67.88671875" style="4" bestFit="1" customWidth="1"/>
    <col min="9" max="16384" width="8.88671875" style="4"/>
  </cols>
  <sheetData>
    <row r="1" spans="1:9">
      <c r="A1" s="9" t="s">
        <v>80</v>
      </c>
      <c r="B1" s="9" t="s">
        <v>1</v>
      </c>
      <c r="C1" s="9" t="s">
        <v>81</v>
      </c>
      <c r="D1" s="9" t="s">
        <v>3</v>
      </c>
      <c r="E1" s="9" t="s">
        <v>82</v>
      </c>
      <c r="F1" s="9" t="s">
        <v>5</v>
      </c>
      <c r="H1" s="7" t="s">
        <v>113</v>
      </c>
      <c r="I1" s="7" t="s">
        <v>67</v>
      </c>
    </row>
    <row r="2" spans="1:9">
      <c r="A2" s="2" t="s">
        <v>83</v>
      </c>
      <c r="B2" s="2" t="s">
        <v>84</v>
      </c>
      <c r="C2" s="2">
        <v>120</v>
      </c>
      <c r="D2" s="2">
        <v>2022</v>
      </c>
      <c r="E2" s="2" t="s">
        <v>85</v>
      </c>
      <c r="F2" s="2">
        <v>9.1999999999999993</v>
      </c>
      <c r="H2" s="10" t="s">
        <v>106</v>
      </c>
      <c r="I2" s="170">
        <f>COUNTIF(Table2[Category],"Electronics")</f>
        <v>9</v>
      </c>
    </row>
    <row r="3" spans="1:9">
      <c r="A3" s="2" t="s">
        <v>86</v>
      </c>
      <c r="B3" s="2" t="s">
        <v>84</v>
      </c>
      <c r="C3" s="2">
        <v>200</v>
      </c>
      <c r="D3" s="2">
        <v>2021</v>
      </c>
      <c r="E3" s="2" t="s">
        <v>87</v>
      </c>
      <c r="F3" s="2">
        <v>8.9</v>
      </c>
      <c r="H3" s="10" t="s">
        <v>107</v>
      </c>
      <c r="I3" s="170">
        <f>COUNTIF(Table2[Rating],"&gt;8.5")</f>
        <v>11</v>
      </c>
    </row>
    <row r="4" spans="1:9">
      <c r="A4" s="2" t="s">
        <v>88</v>
      </c>
      <c r="B4" s="2" t="s">
        <v>89</v>
      </c>
      <c r="C4" s="2">
        <v>80</v>
      </c>
      <c r="D4" s="2">
        <v>2020</v>
      </c>
      <c r="E4" s="2" t="s">
        <v>90</v>
      </c>
      <c r="F4" s="2">
        <v>8.4</v>
      </c>
      <c r="H4" s="5"/>
      <c r="I4" s="5"/>
    </row>
    <row r="5" spans="1:9">
      <c r="A5" s="2" t="s">
        <v>91</v>
      </c>
      <c r="B5" s="2" t="s">
        <v>89</v>
      </c>
      <c r="C5" s="2">
        <v>60</v>
      </c>
      <c r="D5" s="2">
        <v>2019</v>
      </c>
      <c r="E5" s="2" t="s">
        <v>92</v>
      </c>
      <c r="F5" s="2">
        <v>8.6999999999999993</v>
      </c>
      <c r="H5" s="10" t="s">
        <v>108</v>
      </c>
      <c r="I5" s="170">
        <f>SUMIF(Table2[Category],"Appliances",Table2[Quantity Sold])</f>
        <v>650</v>
      </c>
    </row>
    <row r="6" spans="1:9">
      <c r="A6" s="2" t="s">
        <v>93</v>
      </c>
      <c r="B6" s="2" t="s">
        <v>89</v>
      </c>
      <c r="C6" s="2">
        <v>90</v>
      </c>
      <c r="D6" s="2">
        <v>2021</v>
      </c>
      <c r="E6" s="2" t="s">
        <v>87</v>
      </c>
      <c r="F6" s="2">
        <v>8.5</v>
      </c>
      <c r="H6" s="10" t="s">
        <v>109</v>
      </c>
      <c r="I6" s="170">
        <f>SUMIF(Table2[Salesperson],"Jane Smith",Table2[Quantity Sold])</f>
        <v>600</v>
      </c>
    </row>
    <row r="7" spans="1:9">
      <c r="A7" s="2" t="s">
        <v>94</v>
      </c>
      <c r="B7" s="2" t="s">
        <v>89</v>
      </c>
      <c r="C7" s="2">
        <v>50</v>
      </c>
      <c r="D7" s="2">
        <v>2020</v>
      </c>
      <c r="E7" s="2" t="s">
        <v>85</v>
      </c>
      <c r="F7" s="2">
        <v>8.6</v>
      </c>
      <c r="H7" s="5"/>
      <c r="I7" s="5"/>
    </row>
    <row r="8" spans="1:9">
      <c r="A8" s="2" t="s">
        <v>95</v>
      </c>
      <c r="B8" s="2" t="s">
        <v>84</v>
      </c>
      <c r="C8" s="2">
        <v>150</v>
      </c>
      <c r="D8" s="2">
        <v>2022</v>
      </c>
      <c r="E8" s="2" t="s">
        <v>92</v>
      </c>
      <c r="F8" s="2">
        <v>9</v>
      </c>
      <c r="H8" s="10" t="s">
        <v>114</v>
      </c>
      <c r="I8" s="170">
        <f>AVERAGEIF(Table2[Category],"Electronics",Table2[Rating])</f>
        <v>8.8777777777777782</v>
      </c>
    </row>
    <row r="9" spans="1:9">
      <c r="A9" s="2" t="s">
        <v>96</v>
      </c>
      <c r="B9" s="2" t="s">
        <v>84</v>
      </c>
      <c r="C9" s="2">
        <v>170</v>
      </c>
      <c r="D9" s="2">
        <v>2021</v>
      </c>
      <c r="E9" s="2" t="s">
        <v>90</v>
      </c>
      <c r="F9" s="2">
        <v>8.8000000000000007</v>
      </c>
      <c r="H9" s="10" t="s">
        <v>110</v>
      </c>
      <c r="I9" s="170">
        <f>AVERAGEIF(Table2[Year],"&gt;2020",Table2[Quantity Sold])</f>
        <v>152.5</v>
      </c>
    </row>
    <row r="10" spans="1:9">
      <c r="A10" s="2" t="s">
        <v>97</v>
      </c>
      <c r="B10" s="2" t="s">
        <v>89</v>
      </c>
      <c r="C10" s="2">
        <v>110</v>
      </c>
      <c r="D10" s="2">
        <v>2022</v>
      </c>
      <c r="E10" s="2" t="s">
        <v>87</v>
      </c>
      <c r="F10" s="2">
        <v>8.1999999999999993</v>
      </c>
      <c r="H10" s="5"/>
      <c r="I10" s="5"/>
    </row>
    <row r="11" spans="1:9">
      <c r="A11" s="2" t="s">
        <v>98</v>
      </c>
      <c r="B11" s="2" t="s">
        <v>89</v>
      </c>
      <c r="C11" s="2">
        <v>85</v>
      </c>
      <c r="D11" s="2">
        <v>2018</v>
      </c>
      <c r="E11" s="2" t="s">
        <v>85</v>
      </c>
      <c r="F11" s="2">
        <v>8.3000000000000007</v>
      </c>
      <c r="H11" s="10" t="s">
        <v>111</v>
      </c>
      <c r="I11" s="170">
        <f>COUNTIFS(D2:D18, "&gt;2020", F2:F18, "&gt;8.5")</f>
        <v>8</v>
      </c>
    </row>
    <row r="12" spans="1:9">
      <c r="A12" s="2" t="s">
        <v>99</v>
      </c>
      <c r="B12" s="2" t="s">
        <v>84</v>
      </c>
      <c r="C12" s="2">
        <v>95</v>
      </c>
      <c r="D12" s="2">
        <v>2019</v>
      </c>
      <c r="E12" s="2" t="s">
        <v>92</v>
      </c>
      <c r="F12" s="2">
        <v>8.9</v>
      </c>
      <c r="H12" s="10" t="s">
        <v>112</v>
      </c>
      <c r="I12" s="170">
        <f>SUMPRODUCT(Table2[Quantity Sold],Table2[Rating])</f>
        <v>18057</v>
      </c>
    </row>
    <row r="13" spans="1:9">
      <c r="A13" s="2" t="s">
        <v>100</v>
      </c>
      <c r="B13" s="2" t="s">
        <v>84</v>
      </c>
      <c r="C13" s="2">
        <v>200</v>
      </c>
      <c r="D13" s="2">
        <v>2021</v>
      </c>
      <c r="E13" s="2" t="s">
        <v>90</v>
      </c>
      <c r="F13" s="2">
        <v>9</v>
      </c>
    </row>
    <row r="14" spans="1:9">
      <c r="A14" s="2" t="s">
        <v>101</v>
      </c>
      <c r="B14" s="2" t="s">
        <v>89</v>
      </c>
      <c r="C14" s="2">
        <v>75</v>
      </c>
      <c r="D14" s="2">
        <v>2018</v>
      </c>
      <c r="E14" s="2" t="s">
        <v>87</v>
      </c>
      <c r="F14" s="2">
        <v>8.1</v>
      </c>
    </row>
    <row r="15" spans="1:9">
      <c r="A15" s="2" t="s">
        <v>102</v>
      </c>
      <c r="B15" s="2" t="s">
        <v>84</v>
      </c>
      <c r="C15" s="2">
        <v>220</v>
      </c>
      <c r="D15" s="2">
        <v>2022</v>
      </c>
      <c r="E15" s="2" t="s">
        <v>85</v>
      </c>
      <c r="F15" s="2">
        <v>8.8000000000000007</v>
      </c>
    </row>
    <row r="16" spans="1:9">
      <c r="A16" s="2" t="s">
        <v>103</v>
      </c>
      <c r="B16" s="2" t="s">
        <v>89</v>
      </c>
      <c r="C16" s="2">
        <v>100</v>
      </c>
      <c r="D16" s="2">
        <v>2020</v>
      </c>
      <c r="E16" s="2" t="s">
        <v>92</v>
      </c>
      <c r="F16" s="2">
        <v>8.5</v>
      </c>
    </row>
    <row r="17" spans="1:6">
      <c r="A17" s="2" t="s">
        <v>104</v>
      </c>
      <c r="B17" s="2" t="s">
        <v>84</v>
      </c>
      <c r="C17" s="2">
        <v>140</v>
      </c>
      <c r="D17" s="2">
        <v>2021</v>
      </c>
      <c r="E17" s="2" t="s">
        <v>90</v>
      </c>
      <c r="F17" s="2">
        <v>8.6</v>
      </c>
    </row>
    <row r="18" spans="1:6">
      <c r="A18" s="2" t="s">
        <v>105</v>
      </c>
      <c r="B18" s="2" t="s">
        <v>84</v>
      </c>
      <c r="C18" s="2">
        <v>125</v>
      </c>
      <c r="D18" s="2">
        <v>2022</v>
      </c>
      <c r="E18" s="2" t="s">
        <v>87</v>
      </c>
      <c r="F18" s="2">
        <v>8.6999999999999993</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A7721-0D7E-4E59-82A8-77465497FEED}">
  <sheetPr>
    <tabColor theme="3" tint="0.749992370372631"/>
  </sheetPr>
  <dimension ref="A1:E13"/>
  <sheetViews>
    <sheetView tabSelected="1" workbookViewId="0">
      <selection activeCell="E16" sqref="E16"/>
    </sheetView>
  </sheetViews>
  <sheetFormatPr defaultColWidth="8.88671875" defaultRowHeight="14.4"/>
  <cols>
    <col min="1" max="1" width="62.33203125" style="4" bestFit="1" customWidth="1"/>
    <col min="2" max="2" width="53.6640625" style="4" bestFit="1" customWidth="1"/>
    <col min="3" max="3" width="9.33203125" style="4" bestFit="1" customWidth="1"/>
    <col min="4" max="16384" width="8.88671875" style="4"/>
  </cols>
  <sheetData>
    <row r="1" spans="1:5">
      <c r="A1" s="8" t="s">
        <v>68</v>
      </c>
      <c r="B1" s="8" t="s">
        <v>69</v>
      </c>
      <c r="E1" s="162">
        <v>6</v>
      </c>
    </row>
    <row r="2" spans="1:5">
      <c r="A2" t="s">
        <v>70</v>
      </c>
      <c r="B2" t="s">
        <v>71</v>
      </c>
    </row>
    <row r="3" spans="1:5">
      <c r="A3" t="s">
        <v>72</v>
      </c>
      <c r="B3" t="s">
        <v>73</v>
      </c>
    </row>
    <row r="4" spans="1:5">
      <c r="A4" t="s">
        <v>74</v>
      </c>
      <c r="B4" t="s">
        <v>75</v>
      </c>
    </row>
    <row r="5" spans="1:5">
      <c r="A5" t="s">
        <v>76</v>
      </c>
      <c r="B5" t="s">
        <v>77</v>
      </c>
    </row>
    <row r="6" spans="1:5">
      <c r="A6" t="s">
        <v>78</v>
      </c>
      <c r="B6" t="s">
        <v>79</v>
      </c>
    </row>
    <row r="9" spans="1:5">
      <c r="C9" s="228">
        <v>45923</v>
      </c>
      <c r="D9" s="162" t="s">
        <v>970</v>
      </c>
    </row>
    <row r="11" spans="1:5">
      <c r="A11" s="162">
        <v>10</v>
      </c>
      <c r="B11" s="162" t="s">
        <v>932</v>
      </c>
    </row>
    <row r="12" spans="1:5">
      <c r="B12" s="162" t="s">
        <v>932</v>
      </c>
    </row>
    <row r="13" spans="1:5">
      <c r="B13" s="162" t="s">
        <v>983</v>
      </c>
    </row>
  </sheetData>
  <dataValidations count="5">
    <dataValidation type="whole" errorStyle="warning" allowBlank="1" showInputMessage="1" showErrorMessage="1" error="Incorrect input" promptTitle="number" prompt="Enter a number between 10 and 100" sqref="A1:A1048576" xr:uid="{6337C9EE-674D-453D-9F08-0649D2664225}">
      <formula1>10</formula1>
      <formula2>100</formula2>
    </dataValidation>
    <dataValidation type="date" operator="greaterThan" allowBlank="1" showInputMessage="1" showErrorMessage="1" error="invalid date range!" prompt="Enter a date after 1st Jan 2023" sqref="C1:C1048576" xr:uid="{DDBCDF60-A0A8-4571-9058-AF5C12A0E5D2}">
      <formula1>44927</formula1>
    </dataValidation>
    <dataValidation type="textLength" operator="lessThan" allowBlank="1" showInputMessage="1" showErrorMessage="1" error="too long!" prompt="Enter Text(Max 10 char)" sqref="D1:D1048576" xr:uid="{38CE0D0C-20E1-47D9-A0DE-387A596AD45E}">
      <formula1>10</formula1>
    </dataValidation>
    <dataValidation type="custom" allowBlank="1" showInputMessage="1" showErrorMessage="1" error="Sorry, no odd numbers allowed!" prompt="Even numbers only." sqref="E1:E1048576" xr:uid="{6471EEFF-A602-4E1B-A45E-2576C53128AF}">
      <formula1>MOD(E1,2)=0</formula1>
    </dataValidation>
    <dataValidation type="list" allowBlank="1" showInputMessage="1" showErrorMessage="1" sqref="B11:B20" xr:uid="{A5231C12-19E7-40B9-8810-9DCCF4C094F4}">
      <formula1>"Red, Blue, Green"</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8DDEE-81A8-427E-B4EA-C49201104E9C}">
  <sheetPr>
    <tabColor theme="3" tint="0.749992370372631"/>
  </sheetPr>
  <dimension ref="A1:K28"/>
  <sheetViews>
    <sheetView topLeftCell="A26" zoomScale="68" workbookViewId="0">
      <selection activeCell="J5" sqref="J5"/>
    </sheetView>
  </sheetViews>
  <sheetFormatPr defaultColWidth="8.88671875" defaultRowHeight="14.4"/>
  <cols>
    <col min="1" max="8" width="8.88671875" style="4"/>
    <col min="9" max="9" width="29.33203125" style="4" bestFit="1" customWidth="1"/>
    <col min="10" max="10" width="11.5546875" style="4" bestFit="1" customWidth="1"/>
    <col min="11" max="11" width="25.5546875" style="4" bestFit="1" customWidth="1"/>
    <col min="12" max="16384" width="8.88671875" style="4"/>
  </cols>
  <sheetData>
    <row r="1" spans="1:11" ht="30">
      <c r="A1" s="1" t="s">
        <v>0</v>
      </c>
      <c r="B1" s="1" t="s">
        <v>1</v>
      </c>
      <c r="C1" s="1" t="s">
        <v>2</v>
      </c>
      <c r="D1" s="1" t="s">
        <v>3</v>
      </c>
      <c r="E1" s="1" t="s">
        <v>4</v>
      </c>
      <c r="F1" s="1" t="s">
        <v>5</v>
      </c>
      <c r="I1" s="7" t="s">
        <v>119</v>
      </c>
      <c r="J1" s="7" t="s">
        <v>67</v>
      </c>
      <c r="K1" s="4" t="s">
        <v>973</v>
      </c>
    </row>
    <row r="2" spans="1:11" ht="75">
      <c r="A2" s="3" t="s">
        <v>6</v>
      </c>
      <c r="B2" s="3" t="s">
        <v>7</v>
      </c>
      <c r="C2" s="3">
        <v>142</v>
      </c>
      <c r="D2" s="3">
        <v>1994</v>
      </c>
      <c r="E2" s="3" t="s">
        <v>8</v>
      </c>
      <c r="F2" s="3">
        <v>9.1999999999999993</v>
      </c>
      <c r="I2" s="11" t="s">
        <v>115</v>
      </c>
      <c r="J2" s="170">
        <f ca="1">YEAR(TODAY())</f>
        <v>2025</v>
      </c>
      <c r="K2" s="162">
        <f ca="1">$J$2-Table145[[#This Row],[Year]]</f>
        <v>31</v>
      </c>
    </row>
    <row r="3" spans="1:11" ht="45">
      <c r="A3" s="3" t="s">
        <v>9</v>
      </c>
      <c r="B3" s="3" t="s">
        <v>7</v>
      </c>
      <c r="C3" s="3">
        <v>175</v>
      </c>
      <c r="D3" s="3">
        <v>1972</v>
      </c>
      <c r="E3" s="3" t="s">
        <v>10</v>
      </c>
      <c r="F3" s="3">
        <v>9.1999999999999993</v>
      </c>
      <c r="I3" s="12" t="s">
        <v>118</v>
      </c>
      <c r="J3" s="10"/>
      <c r="K3" s="162">
        <f ca="1">$J$2-Table145[[#This Row],[Year]]</f>
        <v>53</v>
      </c>
    </row>
    <row r="4" spans="1:11" ht="30">
      <c r="A4" s="3" t="s">
        <v>11</v>
      </c>
      <c r="B4" s="3" t="s">
        <v>12</v>
      </c>
      <c r="C4" s="3">
        <v>154</v>
      </c>
      <c r="D4" s="3">
        <v>1994</v>
      </c>
      <c r="E4" s="3" t="s">
        <v>13</v>
      </c>
      <c r="F4" s="3">
        <v>8.9</v>
      </c>
      <c r="I4" s="11" t="s">
        <v>116</v>
      </c>
      <c r="J4" s="170">
        <f>NETWORKDAYS(DATE(2023,12,1), DATE(2023,12,31))</f>
        <v>21</v>
      </c>
      <c r="K4" s="162">
        <f ca="1">$J$2-Table145[[#This Row],[Year]]</f>
        <v>31</v>
      </c>
    </row>
    <row r="5" spans="1:11" ht="30">
      <c r="A5" s="3" t="s">
        <v>14</v>
      </c>
      <c r="B5" s="3" t="s">
        <v>7</v>
      </c>
      <c r="C5" s="3">
        <v>195</v>
      </c>
      <c r="D5" s="3">
        <v>1993</v>
      </c>
      <c r="E5" s="3" t="s">
        <v>15</v>
      </c>
      <c r="F5" s="3">
        <v>8.9</v>
      </c>
      <c r="I5" s="11" t="s">
        <v>117</v>
      </c>
      <c r="J5" s="208">
        <f ca="1">TODAY()</f>
        <v>45977</v>
      </c>
      <c r="K5" s="162">
        <f ca="1">$J$2-Table145[[#This Row],[Year]]</f>
        <v>32</v>
      </c>
    </row>
    <row r="6" spans="1:11" ht="30">
      <c r="A6" s="3" t="s">
        <v>16</v>
      </c>
      <c r="B6" s="3" t="s">
        <v>7</v>
      </c>
      <c r="C6" s="3">
        <v>96</v>
      </c>
      <c r="D6" s="3">
        <v>1957</v>
      </c>
      <c r="E6" s="3" t="s">
        <v>17</v>
      </c>
      <c r="F6" s="3">
        <v>8.9</v>
      </c>
      <c r="K6" s="162">
        <f ca="1">$J$2-Table145[[#This Row],[Year]]</f>
        <v>68</v>
      </c>
    </row>
    <row r="7" spans="1:11" ht="60">
      <c r="A7" s="3" t="s">
        <v>18</v>
      </c>
      <c r="B7" s="3" t="s">
        <v>7</v>
      </c>
      <c r="C7" s="3">
        <v>133</v>
      </c>
      <c r="D7" s="3">
        <v>1975</v>
      </c>
      <c r="E7" s="3" t="s">
        <v>19</v>
      </c>
      <c r="F7" s="3">
        <v>8.8000000000000007</v>
      </c>
      <c r="K7" s="162">
        <f ca="1">$J$2-Table145[[#This Row],[Year]]</f>
        <v>50</v>
      </c>
    </row>
    <row r="8" spans="1:11" ht="30">
      <c r="A8" s="3" t="s">
        <v>20</v>
      </c>
      <c r="B8" s="3" t="s">
        <v>21</v>
      </c>
      <c r="C8" s="3">
        <v>152</v>
      </c>
      <c r="D8" s="3">
        <v>2008</v>
      </c>
      <c r="E8" s="3" t="s">
        <v>22</v>
      </c>
      <c r="F8" s="3">
        <v>8.8000000000000007</v>
      </c>
      <c r="K8" s="162">
        <f ca="1">$J$2-Table145[[#This Row],[Year]]</f>
        <v>17</v>
      </c>
    </row>
    <row r="9" spans="1:11" ht="30">
      <c r="A9" s="3" t="s">
        <v>23</v>
      </c>
      <c r="B9" s="3" t="s">
        <v>21</v>
      </c>
      <c r="C9" s="3">
        <v>121</v>
      </c>
      <c r="D9" s="3">
        <v>1977</v>
      </c>
      <c r="E9" s="3" t="s">
        <v>24</v>
      </c>
      <c r="F9" s="3">
        <v>8.3000000000000007</v>
      </c>
      <c r="K9" s="162">
        <f ca="1">$J$2-Table145[[#This Row],[Year]]</f>
        <v>48</v>
      </c>
    </row>
    <row r="10" spans="1:11" ht="45">
      <c r="A10" s="3" t="s">
        <v>25</v>
      </c>
      <c r="B10" s="3" t="s">
        <v>7</v>
      </c>
      <c r="C10" s="3">
        <v>102</v>
      </c>
      <c r="D10" s="3">
        <v>1942</v>
      </c>
      <c r="E10" s="3" t="s">
        <v>26</v>
      </c>
      <c r="F10" s="3">
        <v>8.8000000000000007</v>
      </c>
      <c r="K10" s="162">
        <f ca="1">$J$2-Table145[[#This Row],[Year]]</f>
        <v>83</v>
      </c>
    </row>
    <row r="11" spans="1:11" ht="30">
      <c r="A11" s="3" t="s">
        <v>27</v>
      </c>
      <c r="B11" s="3" t="s">
        <v>7</v>
      </c>
      <c r="C11" s="3">
        <v>146</v>
      </c>
      <c r="D11" s="3">
        <v>1981</v>
      </c>
      <c r="E11" s="3" t="s">
        <v>28</v>
      </c>
      <c r="F11" s="3">
        <v>8.8000000000000007</v>
      </c>
      <c r="K11" s="162">
        <f ca="1">$J$2-Table145[[#This Row],[Year]]</f>
        <v>44</v>
      </c>
    </row>
    <row r="12" spans="1:11" ht="45">
      <c r="A12" s="3" t="s">
        <v>29</v>
      </c>
      <c r="B12" s="3" t="s">
        <v>21</v>
      </c>
      <c r="C12" s="3">
        <v>115</v>
      </c>
      <c r="D12" s="3">
        <v>1981</v>
      </c>
      <c r="E12" s="3" t="s">
        <v>30</v>
      </c>
      <c r="F12" s="3">
        <v>8.6999999999999993</v>
      </c>
      <c r="K12" s="162">
        <f ca="1">$J$2-Table145[[#This Row],[Year]]</f>
        <v>44</v>
      </c>
    </row>
    <row r="13" spans="1:11" ht="30">
      <c r="A13" s="3" t="s">
        <v>31</v>
      </c>
      <c r="B13" s="3" t="s">
        <v>12</v>
      </c>
      <c r="C13" s="3">
        <v>112</v>
      </c>
      <c r="D13" s="3">
        <v>1954</v>
      </c>
      <c r="E13" s="3" t="s">
        <v>32</v>
      </c>
      <c r="F13" s="3">
        <v>8.6999999999999993</v>
      </c>
      <c r="K13" s="162">
        <f ca="1">$J$2-Table145[[#This Row],[Year]]</f>
        <v>71</v>
      </c>
    </row>
    <row r="14" spans="1:11" ht="30">
      <c r="A14" s="3" t="s">
        <v>33</v>
      </c>
      <c r="B14" s="3" t="s">
        <v>34</v>
      </c>
      <c r="C14" s="3">
        <v>136</v>
      </c>
      <c r="D14" s="3">
        <v>1999</v>
      </c>
      <c r="E14" s="3" t="s">
        <v>35</v>
      </c>
      <c r="F14" s="3">
        <v>8.6</v>
      </c>
      <c r="K14" s="162">
        <f ca="1">$J$2-Table145[[#This Row],[Year]]</f>
        <v>26</v>
      </c>
    </row>
    <row r="15" spans="1:11" ht="45">
      <c r="A15" s="3" t="s">
        <v>36</v>
      </c>
      <c r="B15" s="3" t="s">
        <v>37</v>
      </c>
      <c r="C15" s="3">
        <v>130</v>
      </c>
      <c r="D15" s="3">
        <v>1946</v>
      </c>
      <c r="E15" s="3" t="s">
        <v>32</v>
      </c>
      <c r="F15" s="3">
        <v>8.6</v>
      </c>
      <c r="K15" s="162">
        <f ca="1">$J$2-Table145[[#This Row],[Year]]</f>
        <v>79</v>
      </c>
    </row>
    <row r="16" spans="1:11" ht="45">
      <c r="A16" s="3" t="s">
        <v>38</v>
      </c>
      <c r="B16" s="3" t="s">
        <v>39</v>
      </c>
      <c r="C16" s="3">
        <v>93</v>
      </c>
      <c r="D16" s="3">
        <v>1964</v>
      </c>
      <c r="E16" s="3" t="s">
        <v>40</v>
      </c>
      <c r="F16" s="3">
        <v>8.6</v>
      </c>
      <c r="K16" s="162">
        <f ca="1">$J$2-Table145[[#This Row],[Year]]</f>
        <v>61</v>
      </c>
    </row>
    <row r="17" spans="1:11" ht="45">
      <c r="A17" s="3" t="s">
        <v>41</v>
      </c>
      <c r="B17" s="3" t="s">
        <v>21</v>
      </c>
      <c r="C17" s="3">
        <v>131</v>
      </c>
      <c r="D17" s="3">
        <v>1959</v>
      </c>
      <c r="E17" s="3" t="s">
        <v>42</v>
      </c>
      <c r="F17" s="3">
        <v>8.6</v>
      </c>
      <c r="K17" s="162">
        <f ca="1">$J$2-Table145[[#This Row],[Year]]</f>
        <v>66</v>
      </c>
    </row>
    <row r="18" spans="1:11" ht="30">
      <c r="A18" s="3" t="s">
        <v>43</v>
      </c>
      <c r="B18" s="3" t="s">
        <v>7</v>
      </c>
      <c r="C18" s="3">
        <v>119</v>
      </c>
      <c r="D18" s="3">
        <v>1941</v>
      </c>
      <c r="E18" s="3" t="s">
        <v>44</v>
      </c>
      <c r="F18" s="3">
        <v>8.6</v>
      </c>
      <c r="K18" s="162">
        <f ca="1">$J$2-Table145[[#This Row],[Year]]</f>
        <v>84</v>
      </c>
    </row>
    <row r="19" spans="1:11" ht="30">
      <c r="A19" s="3" t="s">
        <v>45</v>
      </c>
      <c r="B19" s="3" t="s">
        <v>39</v>
      </c>
      <c r="C19" s="3">
        <v>142</v>
      </c>
      <c r="D19" s="3">
        <v>1994</v>
      </c>
      <c r="E19" s="3" t="s">
        <v>46</v>
      </c>
      <c r="F19" s="3">
        <v>8.6</v>
      </c>
      <c r="K19" s="162">
        <f ca="1">$J$2-Table145[[#This Row],[Year]]</f>
        <v>31</v>
      </c>
    </row>
    <row r="20" spans="1:11" ht="75">
      <c r="A20" s="3" t="s">
        <v>47</v>
      </c>
      <c r="B20" s="3" t="s">
        <v>39</v>
      </c>
      <c r="C20" s="3">
        <v>91</v>
      </c>
      <c r="D20" s="3">
        <v>1975</v>
      </c>
      <c r="E20" s="3" t="s">
        <v>48</v>
      </c>
      <c r="F20" s="3">
        <v>8.4</v>
      </c>
      <c r="K20" s="162">
        <f ca="1">$J$2-Table145[[#This Row],[Year]]</f>
        <v>50</v>
      </c>
    </row>
    <row r="21" spans="1:11" ht="30">
      <c r="A21" s="3" t="s">
        <v>49</v>
      </c>
      <c r="B21" s="3" t="s">
        <v>37</v>
      </c>
      <c r="C21" s="3">
        <v>96</v>
      </c>
      <c r="D21" s="3">
        <v>2009</v>
      </c>
      <c r="E21" s="3" t="s">
        <v>50</v>
      </c>
      <c r="F21" s="3">
        <v>8.4</v>
      </c>
      <c r="K21" s="162">
        <f ca="1">$J$2-Table145[[#This Row],[Year]]</f>
        <v>16</v>
      </c>
    </row>
    <row r="22" spans="1:11" ht="30">
      <c r="A22" s="3" t="s">
        <v>51</v>
      </c>
      <c r="B22" s="3" t="s">
        <v>52</v>
      </c>
      <c r="C22" s="3">
        <v>103</v>
      </c>
      <c r="D22" s="3">
        <v>1952</v>
      </c>
      <c r="E22" s="3" t="s">
        <v>53</v>
      </c>
      <c r="F22" s="3">
        <v>8.4</v>
      </c>
      <c r="K22" s="162">
        <f ca="1">$J$2-Table145[[#This Row],[Year]]</f>
        <v>73</v>
      </c>
    </row>
    <row r="23" spans="1:11" ht="45">
      <c r="A23" s="3" t="s">
        <v>54</v>
      </c>
      <c r="B23" s="3" t="s">
        <v>34</v>
      </c>
      <c r="C23" s="3">
        <v>141</v>
      </c>
      <c r="D23" s="3">
        <v>1968</v>
      </c>
      <c r="E23" s="3" t="s">
        <v>55</v>
      </c>
      <c r="F23" s="3">
        <v>8.4</v>
      </c>
      <c r="K23" s="162">
        <f ca="1">$J$2-Table145[[#This Row],[Year]]</f>
        <v>57</v>
      </c>
    </row>
    <row r="24" spans="1:11" ht="45">
      <c r="A24" s="3" t="s">
        <v>56</v>
      </c>
      <c r="B24" s="3" t="s">
        <v>37</v>
      </c>
      <c r="C24" s="3">
        <v>116</v>
      </c>
      <c r="D24" s="3">
        <v>1985</v>
      </c>
      <c r="E24" s="3" t="s">
        <v>57</v>
      </c>
      <c r="F24" s="3">
        <v>8.3000000000000007</v>
      </c>
      <c r="K24" s="162">
        <f ca="1">$J$2-Table145[[#This Row],[Year]]</f>
        <v>40</v>
      </c>
    </row>
    <row r="25" spans="1:11" ht="30">
      <c r="A25" s="3" t="s">
        <v>58</v>
      </c>
      <c r="B25" s="3" t="s">
        <v>7</v>
      </c>
      <c r="C25" s="3">
        <v>138</v>
      </c>
      <c r="D25" s="3">
        <v>1950</v>
      </c>
      <c r="E25" s="3" t="s">
        <v>59</v>
      </c>
      <c r="F25" s="3">
        <v>8.3000000000000007</v>
      </c>
      <c r="K25" s="162">
        <f ca="1">$J$2-Table145[[#This Row],[Year]]</f>
        <v>75</v>
      </c>
    </row>
    <row r="26" spans="1:11" ht="45">
      <c r="A26" s="3" t="s">
        <v>60</v>
      </c>
      <c r="B26" s="3" t="s">
        <v>52</v>
      </c>
      <c r="C26" s="3">
        <v>101</v>
      </c>
      <c r="D26" s="3">
        <v>1939</v>
      </c>
      <c r="E26" s="3" t="s">
        <v>61</v>
      </c>
      <c r="F26" s="3">
        <v>8.1999999999999993</v>
      </c>
      <c r="K26" s="162">
        <f ca="1">$J$2-Table145[[#This Row],[Year]]</f>
        <v>86</v>
      </c>
    </row>
    <row r="27" spans="1:11" ht="30">
      <c r="A27" s="3" t="s">
        <v>62</v>
      </c>
      <c r="B27" s="3" t="s">
        <v>37</v>
      </c>
      <c r="C27" s="3">
        <v>111</v>
      </c>
      <c r="D27" s="3">
        <v>2007</v>
      </c>
      <c r="E27" s="3" t="s">
        <v>63</v>
      </c>
      <c r="F27" s="3">
        <v>8.1</v>
      </c>
      <c r="K27" s="162">
        <f ca="1">$J$2-Table145[[#This Row],[Year]]</f>
        <v>18</v>
      </c>
    </row>
    <row r="28" spans="1:11" ht="45">
      <c r="A28" s="3" t="s">
        <v>64</v>
      </c>
      <c r="B28" s="3" t="s">
        <v>37</v>
      </c>
      <c r="C28" s="3">
        <v>92</v>
      </c>
      <c r="D28" s="3">
        <v>2001</v>
      </c>
      <c r="E28" s="3" t="s">
        <v>65</v>
      </c>
      <c r="F28" s="3">
        <v>7.9</v>
      </c>
      <c r="K28" s="162">
        <f ca="1">$J$2-Table145[[#This Row],[Year]]</f>
        <v>24</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BDDED-DCB5-492A-BB81-B6BA8CA2E39F}">
  <sheetPr filterMode="1">
    <tabColor theme="3" tint="0.749992370372631"/>
  </sheetPr>
  <dimension ref="A1:BH52"/>
  <sheetViews>
    <sheetView zoomScale="57" workbookViewId="0">
      <selection activeCell="AS10" sqref="AS10"/>
    </sheetView>
  </sheetViews>
  <sheetFormatPr defaultColWidth="8.88671875" defaultRowHeight="14.4"/>
  <cols>
    <col min="1" max="1" width="46" style="4" customWidth="1"/>
    <col min="2" max="2" width="11.21875" style="4" bestFit="1" customWidth="1"/>
    <col min="3" max="3" width="8.88671875" style="4"/>
    <col min="4" max="4" width="9.5546875" style="4" bestFit="1" customWidth="1"/>
    <col min="5" max="5" width="12.88671875" style="4" customWidth="1"/>
    <col min="6" max="6" width="8.88671875" style="4"/>
    <col min="7" max="7" width="12.6640625" style="4" customWidth="1"/>
    <col min="8" max="8" width="8.88671875" style="4"/>
    <col min="9" max="9" width="13" style="4" bestFit="1" customWidth="1"/>
    <col min="10" max="10" width="8.88671875" style="4"/>
    <col min="11" max="11" width="9" style="4" bestFit="1" customWidth="1"/>
    <col min="12" max="13" width="8.88671875" style="4"/>
    <col min="14" max="14" width="9" style="4" bestFit="1" customWidth="1"/>
    <col min="15" max="15" width="13.109375" style="4" bestFit="1" customWidth="1"/>
    <col min="16" max="16" width="8.88671875" style="4"/>
    <col min="17" max="17" width="9" style="4" bestFit="1" customWidth="1"/>
    <col min="18" max="18" width="8.88671875" style="4"/>
    <col min="19" max="19" width="9" style="4" bestFit="1" customWidth="1"/>
    <col min="20" max="21" width="8.88671875" style="4"/>
    <col min="22" max="22" width="9" style="4" bestFit="1" customWidth="1"/>
    <col min="23" max="23" width="13.109375" style="4" bestFit="1" customWidth="1"/>
    <col min="24" max="24" width="8.88671875" style="4"/>
    <col min="25" max="25" width="9" style="4" bestFit="1" customWidth="1"/>
    <col min="26" max="26" width="8.88671875" style="4"/>
    <col min="27" max="27" width="9" style="4" bestFit="1" customWidth="1"/>
    <col min="28" max="29" width="8.88671875" style="4"/>
    <col min="30" max="30" width="9" style="4" bestFit="1" customWidth="1"/>
    <col min="31" max="31" width="13.109375" style="4" bestFit="1" customWidth="1"/>
    <col min="32" max="34" width="8.88671875" style="4"/>
    <col min="35" max="35" width="9" style="4" bestFit="1" customWidth="1"/>
    <col min="36" max="36" width="8.88671875" style="4"/>
    <col min="37" max="37" width="9" style="4" bestFit="1" customWidth="1"/>
    <col min="38" max="39" width="8.88671875" style="4"/>
    <col min="40" max="40" width="9" style="4" bestFit="1" customWidth="1"/>
    <col min="41" max="41" width="10.33203125" style="4" bestFit="1" customWidth="1"/>
    <col min="42" max="58" width="8.88671875" style="4"/>
    <col min="59" max="59" width="10.6640625" style="4" bestFit="1" customWidth="1"/>
    <col min="60" max="16384" width="8.88671875" style="4"/>
  </cols>
  <sheetData>
    <row r="1" spans="1:42">
      <c r="A1" s="9" t="s">
        <v>120</v>
      </c>
      <c r="B1" s="9" t="s">
        <v>121</v>
      </c>
      <c r="C1" s="9" t="s">
        <v>122</v>
      </c>
      <c r="D1" s="9" t="s">
        <v>123</v>
      </c>
      <c r="E1" s="9" t="s">
        <v>124</v>
      </c>
      <c r="F1" s="9" t="s">
        <v>125</v>
      </c>
      <c r="G1" s="9" t="s">
        <v>126</v>
      </c>
      <c r="H1" s="220"/>
      <c r="I1" s="221" t="s">
        <v>976</v>
      </c>
      <c r="J1" s="160"/>
      <c r="K1" s="160"/>
      <c r="L1" s="162"/>
      <c r="M1" s="162"/>
      <c r="N1" s="162"/>
      <c r="O1" s="162"/>
      <c r="P1" s="162"/>
      <c r="Q1" s="222" t="s">
        <v>977</v>
      </c>
      <c r="R1" s="162"/>
      <c r="S1" s="162"/>
      <c r="T1" s="162"/>
      <c r="U1" s="162"/>
      <c r="V1" s="162"/>
      <c r="W1" s="162"/>
      <c r="X1" s="162"/>
      <c r="Y1" s="222" t="s">
        <v>978</v>
      </c>
      <c r="Z1" s="162"/>
      <c r="AA1" s="162"/>
      <c r="AB1" s="162"/>
      <c r="AC1" s="162"/>
      <c r="AD1" s="162"/>
      <c r="AE1" s="162"/>
      <c r="AF1" s="162"/>
    </row>
    <row r="2" spans="1:42" ht="28.8">
      <c r="A2" s="219">
        <v>1</v>
      </c>
      <c r="B2" s="2" t="s">
        <v>127</v>
      </c>
      <c r="C2" s="2">
        <v>30</v>
      </c>
      <c r="D2" s="2" t="s">
        <v>128</v>
      </c>
      <c r="E2" s="2" t="s">
        <v>129</v>
      </c>
      <c r="F2" s="2">
        <v>50000</v>
      </c>
      <c r="G2" s="13">
        <v>43831</v>
      </c>
      <c r="H2" s="162"/>
      <c r="I2" s="226" t="s">
        <v>120</v>
      </c>
      <c r="J2" s="226" t="s">
        <v>121</v>
      </c>
      <c r="K2" s="226" t="s">
        <v>122</v>
      </c>
      <c r="L2" s="226" t="s">
        <v>123</v>
      </c>
      <c r="M2" s="226" t="s">
        <v>124</v>
      </c>
      <c r="N2" s="226" t="s">
        <v>125</v>
      </c>
      <c r="O2" s="226" t="s">
        <v>126</v>
      </c>
      <c r="P2" s="162"/>
      <c r="Q2" s="226" t="s">
        <v>120</v>
      </c>
      <c r="R2" s="226" t="s">
        <v>121</v>
      </c>
      <c r="S2" s="226" t="s">
        <v>122</v>
      </c>
      <c r="T2" s="226" t="s">
        <v>123</v>
      </c>
      <c r="U2" s="226" t="s">
        <v>124</v>
      </c>
      <c r="V2" s="226" t="s">
        <v>125</v>
      </c>
      <c r="W2" s="226" t="s">
        <v>126</v>
      </c>
      <c r="X2" s="162"/>
      <c r="Y2" s="226" t="s">
        <v>120</v>
      </c>
      <c r="Z2" s="226" t="s">
        <v>121</v>
      </c>
      <c r="AA2" s="226" t="s">
        <v>122</v>
      </c>
      <c r="AB2" s="226" t="s">
        <v>123</v>
      </c>
      <c r="AC2" s="226" t="s">
        <v>124</v>
      </c>
      <c r="AD2" s="226" t="s">
        <v>125</v>
      </c>
      <c r="AE2" s="226" t="s">
        <v>126</v>
      </c>
      <c r="AF2" s="162"/>
    </row>
    <row r="3" spans="1:42" ht="28.8">
      <c r="A3" s="219">
        <v>2</v>
      </c>
      <c r="B3" s="2" t="s">
        <v>130</v>
      </c>
      <c r="C3" s="2">
        <v>25</v>
      </c>
      <c r="D3" s="2" t="s">
        <v>131</v>
      </c>
      <c r="E3" s="2" t="s">
        <v>132</v>
      </c>
      <c r="F3" s="2">
        <v>60000</v>
      </c>
      <c r="G3" s="13">
        <v>44270</v>
      </c>
      <c r="H3" s="162"/>
      <c r="I3" s="223">
        <v>2</v>
      </c>
      <c r="J3" s="224" t="s">
        <v>130</v>
      </c>
      <c r="K3" s="224">
        <v>25</v>
      </c>
      <c r="L3" s="224" t="s">
        <v>131</v>
      </c>
      <c r="M3" s="224" t="s">
        <v>132</v>
      </c>
      <c r="N3" s="224">
        <v>60000</v>
      </c>
      <c r="O3" s="225">
        <v>44270</v>
      </c>
      <c r="P3" s="162"/>
      <c r="Q3" s="223">
        <v>3</v>
      </c>
      <c r="R3" s="224" t="s">
        <v>133</v>
      </c>
      <c r="S3" s="224">
        <v>35</v>
      </c>
      <c r="T3" s="224" t="s">
        <v>134</v>
      </c>
      <c r="U3" s="224" t="s">
        <v>135</v>
      </c>
      <c r="V3" s="224">
        <v>75000</v>
      </c>
      <c r="W3" s="225">
        <v>43626</v>
      </c>
      <c r="X3" s="162"/>
      <c r="Y3" s="223">
        <v>6</v>
      </c>
      <c r="Z3" s="224" t="s">
        <v>140</v>
      </c>
      <c r="AA3" s="224">
        <v>33</v>
      </c>
      <c r="AB3" s="224" t="s">
        <v>134</v>
      </c>
      <c r="AC3" s="224" t="s">
        <v>141</v>
      </c>
      <c r="AD3" s="224">
        <v>70000</v>
      </c>
      <c r="AE3" s="225">
        <v>44518</v>
      </c>
      <c r="AF3" s="162"/>
    </row>
    <row r="4" spans="1:42">
      <c r="A4" s="219">
        <v>3</v>
      </c>
      <c r="B4" s="2" t="s">
        <v>133</v>
      </c>
      <c r="C4" s="2">
        <v>35</v>
      </c>
      <c r="D4" s="2" t="s">
        <v>134</v>
      </c>
      <c r="E4" s="2" t="s">
        <v>135</v>
      </c>
      <c r="F4" s="2">
        <v>75000</v>
      </c>
      <c r="G4" s="13">
        <v>43626</v>
      </c>
      <c r="H4" s="162"/>
      <c r="I4" s="223">
        <v>4</v>
      </c>
      <c r="J4" s="224" t="s">
        <v>136</v>
      </c>
      <c r="K4" s="224">
        <v>28</v>
      </c>
      <c r="L4" s="224" t="s">
        <v>137</v>
      </c>
      <c r="M4" s="224" t="s">
        <v>132</v>
      </c>
      <c r="N4" s="224">
        <v>62000</v>
      </c>
      <c r="O4" s="225">
        <v>44461</v>
      </c>
      <c r="P4" s="162"/>
      <c r="Q4" s="223">
        <v>7</v>
      </c>
      <c r="R4" s="224" t="s">
        <v>142</v>
      </c>
      <c r="S4" s="224">
        <v>38</v>
      </c>
      <c r="T4" s="224" t="s">
        <v>137</v>
      </c>
      <c r="U4" s="224" t="s">
        <v>141</v>
      </c>
      <c r="V4" s="224">
        <v>72000</v>
      </c>
      <c r="W4" s="225">
        <v>43932</v>
      </c>
      <c r="X4" s="162"/>
      <c r="Y4" s="223">
        <v>4</v>
      </c>
      <c r="Z4" s="224" t="s">
        <v>136</v>
      </c>
      <c r="AA4" s="224">
        <v>28</v>
      </c>
      <c r="AB4" s="224" t="s">
        <v>137</v>
      </c>
      <c r="AC4" s="224" t="s">
        <v>132</v>
      </c>
      <c r="AD4" s="224">
        <v>62000</v>
      </c>
      <c r="AE4" s="225">
        <v>44461</v>
      </c>
      <c r="AF4" s="162"/>
    </row>
    <row r="5" spans="1:42">
      <c r="A5" s="219">
        <v>4</v>
      </c>
      <c r="B5" s="2" t="s">
        <v>136</v>
      </c>
      <c r="C5" s="2">
        <v>28</v>
      </c>
      <c r="D5" s="2" t="s">
        <v>137</v>
      </c>
      <c r="E5" s="2" t="s">
        <v>132</v>
      </c>
      <c r="F5" s="2">
        <v>62000</v>
      </c>
      <c r="G5" s="13">
        <v>44461</v>
      </c>
      <c r="H5" s="162"/>
      <c r="I5" s="223">
        <v>8</v>
      </c>
      <c r="J5" s="224" t="s">
        <v>143</v>
      </c>
      <c r="K5" s="224">
        <v>29</v>
      </c>
      <c r="L5" s="224" t="s">
        <v>128</v>
      </c>
      <c r="M5" s="224" t="s">
        <v>135</v>
      </c>
      <c r="N5" s="224">
        <v>65000</v>
      </c>
      <c r="O5" s="225">
        <v>44428</v>
      </c>
      <c r="P5" s="162"/>
      <c r="Q5" s="223">
        <v>6</v>
      </c>
      <c r="R5" s="224" t="s">
        <v>140</v>
      </c>
      <c r="S5" s="224">
        <v>33</v>
      </c>
      <c r="T5" s="224" t="s">
        <v>134</v>
      </c>
      <c r="U5" s="224" t="s">
        <v>141</v>
      </c>
      <c r="V5" s="224">
        <v>70000</v>
      </c>
      <c r="W5" s="225">
        <v>44518</v>
      </c>
      <c r="X5" s="162"/>
      <c r="Y5" s="223">
        <v>8</v>
      </c>
      <c r="Z5" s="224" t="s">
        <v>143</v>
      </c>
      <c r="AA5" s="224">
        <v>29</v>
      </c>
      <c r="AB5" s="224" t="s">
        <v>128</v>
      </c>
      <c r="AC5" s="224" t="s">
        <v>135</v>
      </c>
      <c r="AD5" s="224">
        <v>65000</v>
      </c>
      <c r="AE5" s="225">
        <v>44428</v>
      </c>
      <c r="AF5" s="162"/>
    </row>
    <row r="6" spans="1:42" ht="43.2">
      <c r="A6" s="219">
        <v>5</v>
      </c>
      <c r="B6" s="2" t="s">
        <v>138</v>
      </c>
      <c r="C6" s="2">
        <v>40</v>
      </c>
      <c r="D6" s="2" t="s">
        <v>139</v>
      </c>
      <c r="E6" s="2" t="s">
        <v>129</v>
      </c>
      <c r="F6" s="2">
        <v>55000</v>
      </c>
      <c r="G6" s="13">
        <v>43866</v>
      </c>
      <c r="H6" s="162"/>
      <c r="I6" s="223">
        <v>1</v>
      </c>
      <c r="J6" s="224" t="s">
        <v>127</v>
      </c>
      <c r="K6" s="224">
        <v>30</v>
      </c>
      <c r="L6" s="224" t="s">
        <v>128</v>
      </c>
      <c r="M6" s="224" t="s">
        <v>129</v>
      </c>
      <c r="N6" s="224">
        <v>50000</v>
      </c>
      <c r="O6" s="225">
        <v>43831</v>
      </c>
      <c r="P6" s="162"/>
      <c r="Q6" s="223">
        <v>10</v>
      </c>
      <c r="R6" s="224" t="s">
        <v>145</v>
      </c>
      <c r="S6" s="224">
        <v>36</v>
      </c>
      <c r="T6" s="224" t="s">
        <v>139</v>
      </c>
      <c r="U6" s="224" t="s">
        <v>132</v>
      </c>
      <c r="V6" s="224">
        <v>70000</v>
      </c>
      <c r="W6" s="225">
        <v>43647</v>
      </c>
      <c r="X6" s="162"/>
      <c r="Y6" s="223">
        <v>2</v>
      </c>
      <c r="Z6" s="224" t="s">
        <v>130</v>
      </c>
      <c r="AA6" s="224">
        <v>25</v>
      </c>
      <c r="AB6" s="224" t="s">
        <v>131</v>
      </c>
      <c r="AC6" s="224" t="s">
        <v>132</v>
      </c>
      <c r="AD6" s="224">
        <v>60000</v>
      </c>
      <c r="AE6" s="225">
        <v>44270</v>
      </c>
      <c r="AF6" s="162"/>
    </row>
    <row r="7" spans="1:42" ht="28.8">
      <c r="A7" s="219">
        <v>6</v>
      </c>
      <c r="B7" s="2" t="s">
        <v>140</v>
      </c>
      <c r="C7" s="2">
        <v>33</v>
      </c>
      <c r="D7" s="2" t="s">
        <v>134</v>
      </c>
      <c r="E7" s="2" t="s">
        <v>141</v>
      </c>
      <c r="F7" s="2">
        <v>70000</v>
      </c>
      <c r="G7" s="13">
        <v>44518</v>
      </c>
      <c r="H7" s="162"/>
      <c r="I7" s="223">
        <v>9</v>
      </c>
      <c r="J7" s="224" t="s">
        <v>144</v>
      </c>
      <c r="K7" s="224">
        <v>31</v>
      </c>
      <c r="L7" s="224" t="s">
        <v>131</v>
      </c>
      <c r="M7" s="224" t="s">
        <v>129</v>
      </c>
      <c r="N7" s="224">
        <v>48000</v>
      </c>
      <c r="O7" s="225">
        <v>43875</v>
      </c>
      <c r="P7" s="162"/>
      <c r="Q7" s="223">
        <v>8</v>
      </c>
      <c r="R7" s="224" t="s">
        <v>143</v>
      </c>
      <c r="S7" s="224">
        <v>29</v>
      </c>
      <c r="T7" s="224" t="s">
        <v>128</v>
      </c>
      <c r="U7" s="224" t="s">
        <v>135</v>
      </c>
      <c r="V7" s="224">
        <v>65000</v>
      </c>
      <c r="W7" s="225">
        <v>44428</v>
      </c>
      <c r="X7" s="162"/>
      <c r="Y7" s="223">
        <v>7</v>
      </c>
      <c r="Z7" s="224" t="s">
        <v>142</v>
      </c>
      <c r="AA7" s="224">
        <v>38</v>
      </c>
      <c r="AB7" s="224" t="s">
        <v>137</v>
      </c>
      <c r="AC7" s="224" t="s">
        <v>141</v>
      </c>
      <c r="AD7" s="224">
        <v>72000</v>
      </c>
      <c r="AE7" s="225">
        <v>43932</v>
      </c>
      <c r="AF7" s="162"/>
    </row>
    <row r="8" spans="1:42" ht="28.8">
      <c r="A8" s="219">
        <v>7</v>
      </c>
      <c r="B8" s="2" t="s">
        <v>142</v>
      </c>
      <c r="C8" s="2">
        <v>38</v>
      </c>
      <c r="D8" s="2" t="s">
        <v>137</v>
      </c>
      <c r="E8" s="2" t="s">
        <v>141</v>
      </c>
      <c r="F8" s="2">
        <v>72000</v>
      </c>
      <c r="G8" s="13">
        <v>43932</v>
      </c>
      <c r="H8" s="162"/>
      <c r="I8" s="223">
        <v>6</v>
      </c>
      <c r="J8" s="224" t="s">
        <v>140</v>
      </c>
      <c r="K8" s="224">
        <v>33</v>
      </c>
      <c r="L8" s="224" t="s">
        <v>134</v>
      </c>
      <c r="M8" s="224" t="s">
        <v>141</v>
      </c>
      <c r="N8" s="224">
        <v>70000</v>
      </c>
      <c r="O8" s="225">
        <v>44518</v>
      </c>
      <c r="P8" s="162"/>
      <c r="Q8" s="223">
        <v>4</v>
      </c>
      <c r="R8" s="224" t="s">
        <v>136</v>
      </c>
      <c r="S8" s="224">
        <v>28</v>
      </c>
      <c r="T8" s="224" t="s">
        <v>137</v>
      </c>
      <c r="U8" s="224" t="s">
        <v>132</v>
      </c>
      <c r="V8" s="224">
        <v>62000</v>
      </c>
      <c r="W8" s="225">
        <v>44461</v>
      </c>
      <c r="X8" s="162"/>
      <c r="Y8" s="223">
        <v>9</v>
      </c>
      <c r="Z8" s="224" t="s">
        <v>144</v>
      </c>
      <c r="AA8" s="224">
        <v>31</v>
      </c>
      <c r="AB8" s="224" t="s">
        <v>131</v>
      </c>
      <c r="AC8" s="224" t="s">
        <v>129</v>
      </c>
      <c r="AD8" s="224">
        <v>48000</v>
      </c>
      <c r="AE8" s="225">
        <v>43875</v>
      </c>
      <c r="AF8" s="162"/>
    </row>
    <row r="9" spans="1:42" ht="43.2">
      <c r="A9" s="219">
        <v>8</v>
      </c>
      <c r="B9" s="2" t="s">
        <v>143</v>
      </c>
      <c r="C9" s="2">
        <v>29</v>
      </c>
      <c r="D9" s="2" t="s">
        <v>128</v>
      </c>
      <c r="E9" s="2" t="s">
        <v>135</v>
      </c>
      <c r="F9" s="2">
        <v>65000</v>
      </c>
      <c r="G9" s="13">
        <v>44428</v>
      </c>
      <c r="H9" s="162"/>
      <c r="I9" s="223">
        <v>3</v>
      </c>
      <c r="J9" s="224" t="s">
        <v>133</v>
      </c>
      <c r="K9" s="224">
        <v>35</v>
      </c>
      <c r="L9" s="224" t="s">
        <v>134</v>
      </c>
      <c r="M9" s="224" t="s">
        <v>135</v>
      </c>
      <c r="N9" s="224">
        <v>75000</v>
      </c>
      <c r="O9" s="225">
        <v>43626</v>
      </c>
      <c r="P9" s="162"/>
      <c r="Q9" s="223">
        <v>2</v>
      </c>
      <c r="R9" s="224" t="s">
        <v>130</v>
      </c>
      <c r="S9" s="224">
        <v>25</v>
      </c>
      <c r="T9" s="224" t="s">
        <v>131</v>
      </c>
      <c r="U9" s="224" t="s">
        <v>132</v>
      </c>
      <c r="V9" s="224">
        <v>60000</v>
      </c>
      <c r="W9" s="225">
        <v>44270</v>
      </c>
      <c r="X9" s="162"/>
      <c r="Y9" s="223">
        <v>5</v>
      </c>
      <c r="Z9" s="224" t="s">
        <v>138</v>
      </c>
      <c r="AA9" s="224">
        <v>40</v>
      </c>
      <c r="AB9" s="224" t="s">
        <v>139</v>
      </c>
      <c r="AC9" s="224" t="s">
        <v>129</v>
      </c>
      <c r="AD9" s="224">
        <v>55000</v>
      </c>
      <c r="AE9" s="225">
        <v>43866</v>
      </c>
      <c r="AF9" s="162"/>
      <c r="AH9" s="162"/>
      <c r="AI9" s="222" t="s">
        <v>979</v>
      </c>
      <c r="AJ9" s="162"/>
      <c r="AK9" s="162"/>
      <c r="AL9" s="162"/>
      <c r="AM9" s="162"/>
      <c r="AN9" s="162"/>
      <c r="AO9" s="162"/>
      <c r="AP9" s="162"/>
    </row>
    <row r="10" spans="1:42" ht="43.2">
      <c r="A10" s="219">
        <v>9</v>
      </c>
      <c r="B10" s="2" t="s">
        <v>144</v>
      </c>
      <c r="C10" s="2">
        <v>31</v>
      </c>
      <c r="D10" s="2" t="s">
        <v>131</v>
      </c>
      <c r="E10" s="2" t="s">
        <v>129</v>
      </c>
      <c r="F10" s="2">
        <v>48000</v>
      </c>
      <c r="G10" s="13">
        <v>43875</v>
      </c>
      <c r="H10" s="162"/>
      <c r="I10" s="223">
        <v>10</v>
      </c>
      <c r="J10" s="224" t="s">
        <v>145</v>
      </c>
      <c r="K10" s="224">
        <v>36</v>
      </c>
      <c r="L10" s="224" t="s">
        <v>139</v>
      </c>
      <c r="M10" s="224" t="s">
        <v>132</v>
      </c>
      <c r="N10" s="224">
        <v>70000</v>
      </c>
      <c r="O10" s="225">
        <v>43647</v>
      </c>
      <c r="P10" s="162"/>
      <c r="Q10" s="223">
        <v>5</v>
      </c>
      <c r="R10" s="224" t="s">
        <v>138</v>
      </c>
      <c r="S10" s="224">
        <v>40</v>
      </c>
      <c r="T10" s="224" t="s">
        <v>139</v>
      </c>
      <c r="U10" s="224" t="s">
        <v>129</v>
      </c>
      <c r="V10" s="224">
        <v>55000</v>
      </c>
      <c r="W10" s="225">
        <v>43866</v>
      </c>
      <c r="X10" s="162"/>
      <c r="Y10" s="223">
        <v>1</v>
      </c>
      <c r="Z10" s="224" t="s">
        <v>127</v>
      </c>
      <c r="AA10" s="224">
        <v>30</v>
      </c>
      <c r="AB10" s="224" t="s">
        <v>128</v>
      </c>
      <c r="AC10" s="224" t="s">
        <v>129</v>
      </c>
      <c r="AD10" s="224">
        <v>50000</v>
      </c>
      <c r="AE10" s="225">
        <v>43831</v>
      </c>
      <c r="AF10" s="162"/>
      <c r="AH10" s="162"/>
      <c r="AI10" s="226" t="s">
        <v>120</v>
      </c>
      <c r="AJ10" s="226" t="s">
        <v>121</v>
      </c>
      <c r="AK10" s="226" t="s">
        <v>122</v>
      </c>
      <c r="AL10" s="226" t="s">
        <v>123</v>
      </c>
      <c r="AM10" s="226" t="s">
        <v>124</v>
      </c>
      <c r="AN10" s="226" t="s">
        <v>125</v>
      </c>
      <c r="AO10" s="226" t="s">
        <v>126</v>
      </c>
      <c r="AP10" s="162"/>
    </row>
    <row r="11" spans="1:42" ht="43.2" hidden="1">
      <c r="A11" s="219">
        <v>10</v>
      </c>
      <c r="B11" s="2" t="s">
        <v>145</v>
      </c>
      <c r="C11" s="2">
        <v>36</v>
      </c>
      <c r="D11" s="2" t="s">
        <v>139</v>
      </c>
      <c r="E11" s="2" t="s">
        <v>132</v>
      </c>
      <c r="F11" s="2">
        <v>70000</v>
      </c>
      <c r="G11" s="13">
        <v>43647</v>
      </c>
      <c r="H11" s="162"/>
      <c r="I11" s="223">
        <v>7</v>
      </c>
      <c r="J11" s="224" t="s">
        <v>142</v>
      </c>
      <c r="K11" s="224">
        <v>38</v>
      </c>
      <c r="L11" s="224" t="s">
        <v>137</v>
      </c>
      <c r="M11" s="224" t="s">
        <v>141</v>
      </c>
      <c r="N11" s="224">
        <v>72000</v>
      </c>
      <c r="O11" s="225">
        <v>43932</v>
      </c>
      <c r="P11" s="162"/>
      <c r="Q11" s="223">
        <v>1</v>
      </c>
      <c r="R11" s="224" t="s">
        <v>127</v>
      </c>
      <c r="S11" s="224">
        <v>30</v>
      </c>
      <c r="T11" s="224" t="s">
        <v>128</v>
      </c>
      <c r="U11" s="224" t="s">
        <v>129</v>
      </c>
      <c r="V11" s="224">
        <v>50000</v>
      </c>
      <c r="W11" s="225">
        <v>43831</v>
      </c>
      <c r="X11" s="162"/>
      <c r="Y11" s="223">
        <v>10</v>
      </c>
      <c r="Z11" s="224" t="s">
        <v>145</v>
      </c>
      <c r="AA11" s="224">
        <v>36</v>
      </c>
      <c r="AB11" s="224" t="s">
        <v>139</v>
      </c>
      <c r="AC11" s="224" t="s">
        <v>132</v>
      </c>
      <c r="AD11" s="224">
        <v>70000</v>
      </c>
      <c r="AE11" s="225">
        <v>43647</v>
      </c>
      <c r="AF11" s="162"/>
      <c r="AI11" s="219">
        <v>1</v>
      </c>
      <c r="AJ11" s="2" t="s">
        <v>127</v>
      </c>
      <c r="AK11" s="2">
        <v>30</v>
      </c>
      <c r="AL11" s="2" t="s">
        <v>128</v>
      </c>
      <c r="AM11" s="2" t="s">
        <v>129</v>
      </c>
      <c r="AN11" s="2">
        <v>50000</v>
      </c>
      <c r="AO11" s="13">
        <v>43831</v>
      </c>
    </row>
    <row r="12" spans="1:42" ht="43.2">
      <c r="H12" s="162"/>
      <c r="I12" s="223">
        <v>5</v>
      </c>
      <c r="J12" s="224" t="s">
        <v>138</v>
      </c>
      <c r="K12" s="224">
        <v>40</v>
      </c>
      <c r="L12" s="224" t="s">
        <v>139</v>
      </c>
      <c r="M12" s="224" t="s">
        <v>129</v>
      </c>
      <c r="N12" s="224">
        <v>55000</v>
      </c>
      <c r="O12" s="225">
        <v>43866</v>
      </c>
      <c r="P12" s="162"/>
      <c r="Q12" s="223">
        <v>9</v>
      </c>
      <c r="R12" s="224" t="s">
        <v>144</v>
      </c>
      <c r="S12" s="224">
        <v>31</v>
      </c>
      <c r="T12" s="224" t="s">
        <v>131</v>
      </c>
      <c r="U12" s="224" t="s">
        <v>129</v>
      </c>
      <c r="V12" s="224">
        <v>48000</v>
      </c>
      <c r="W12" s="225">
        <v>43875</v>
      </c>
      <c r="X12" s="162"/>
      <c r="Y12" s="223">
        <v>3</v>
      </c>
      <c r="Z12" s="224" t="s">
        <v>133</v>
      </c>
      <c r="AA12" s="224">
        <v>35</v>
      </c>
      <c r="AB12" s="224" t="s">
        <v>134</v>
      </c>
      <c r="AC12" s="224" t="s">
        <v>135</v>
      </c>
      <c r="AD12" s="224">
        <v>75000</v>
      </c>
      <c r="AE12" s="225">
        <v>43626</v>
      </c>
      <c r="AF12" s="162"/>
      <c r="AH12" s="162"/>
      <c r="AI12" s="223">
        <v>2</v>
      </c>
      <c r="AJ12" s="224" t="s">
        <v>130</v>
      </c>
      <c r="AK12" s="224">
        <v>25</v>
      </c>
      <c r="AL12" s="224" t="s">
        <v>131</v>
      </c>
      <c r="AM12" s="224" t="s">
        <v>132</v>
      </c>
      <c r="AN12" s="224">
        <v>60000</v>
      </c>
      <c r="AO12" s="225">
        <v>44270</v>
      </c>
      <c r="AP12" s="162"/>
    </row>
    <row r="13" spans="1:42" hidden="1">
      <c r="H13" s="162"/>
      <c r="I13" s="162"/>
      <c r="J13" s="162"/>
      <c r="K13" s="162"/>
      <c r="L13" s="162"/>
      <c r="M13" s="162"/>
      <c r="N13" s="162"/>
      <c r="O13" s="162"/>
      <c r="P13" s="162"/>
      <c r="Q13" s="162"/>
      <c r="R13" s="162"/>
      <c r="S13" s="162"/>
      <c r="T13" s="162"/>
      <c r="U13" s="162"/>
      <c r="V13" s="162"/>
      <c r="W13" s="162"/>
      <c r="X13" s="162"/>
      <c r="Y13" s="162"/>
      <c r="Z13" s="162"/>
      <c r="AA13" s="162"/>
      <c r="AB13" s="162"/>
      <c r="AC13" s="162"/>
      <c r="AD13" s="162"/>
      <c r="AE13" s="162"/>
      <c r="AF13" s="162"/>
      <c r="AI13" s="219">
        <v>3</v>
      </c>
      <c r="AJ13" s="2" t="s">
        <v>133</v>
      </c>
      <c r="AK13" s="2">
        <v>35</v>
      </c>
      <c r="AL13" s="2" t="s">
        <v>134</v>
      </c>
      <c r="AM13" s="2" t="s">
        <v>135</v>
      </c>
      <c r="AN13" s="2">
        <v>75000</v>
      </c>
      <c r="AO13" s="13">
        <v>43626</v>
      </c>
    </row>
    <row r="14" spans="1:42" ht="15.6">
      <c r="A14" s="14" t="s">
        <v>146</v>
      </c>
      <c r="H14" s="162"/>
      <c r="I14" s="162"/>
      <c r="J14" s="162"/>
      <c r="K14" s="162"/>
      <c r="L14" s="162"/>
      <c r="M14" s="162"/>
      <c r="N14" s="162"/>
      <c r="O14" s="162"/>
      <c r="P14" s="162"/>
      <c r="Q14" s="162"/>
      <c r="R14" s="162"/>
      <c r="S14" s="162"/>
      <c r="T14" s="162"/>
      <c r="U14" s="162"/>
      <c r="V14" s="162"/>
      <c r="W14" s="162"/>
      <c r="X14" s="162"/>
      <c r="Y14" s="162"/>
      <c r="Z14" s="162"/>
      <c r="AA14" s="162"/>
      <c r="AB14" s="162"/>
      <c r="AC14" s="162"/>
      <c r="AD14" s="162"/>
      <c r="AE14" s="162"/>
      <c r="AF14" s="162"/>
      <c r="AH14" s="162"/>
      <c r="AI14" s="223">
        <v>4</v>
      </c>
      <c r="AJ14" s="224" t="s">
        <v>136</v>
      </c>
      <c r="AK14" s="224">
        <v>28</v>
      </c>
      <c r="AL14" s="224" t="s">
        <v>137</v>
      </c>
      <c r="AM14" s="224" t="s">
        <v>132</v>
      </c>
      <c r="AN14" s="224">
        <v>62000</v>
      </c>
      <c r="AO14" s="225">
        <v>44461</v>
      </c>
      <c r="AP14" s="162"/>
    </row>
    <row r="15" spans="1:42" ht="43.2" hidden="1">
      <c r="A15" s="15"/>
      <c r="H15" s="162"/>
      <c r="I15" s="162"/>
      <c r="J15" s="162"/>
      <c r="K15" s="162"/>
      <c r="L15" s="162"/>
      <c r="M15" s="162"/>
      <c r="N15" s="162"/>
      <c r="O15" s="162"/>
      <c r="P15" s="162"/>
      <c r="Q15" s="162"/>
      <c r="R15" s="162"/>
      <c r="S15" s="162"/>
      <c r="T15" s="162"/>
      <c r="U15" s="162"/>
      <c r="V15" s="162"/>
      <c r="W15" s="162"/>
      <c r="X15" s="162"/>
      <c r="Y15" s="162"/>
      <c r="Z15" s="162"/>
      <c r="AA15" s="162"/>
      <c r="AB15" s="162"/>
      <c r="AC15" s="162"/>
      <c r="AD15" s="162"/>
      <c r="AE15" s="162"/>
      <c r="AF15" s="162"/>
      <c r="AI15" s="219">
        <v>5</v>
      </c>
      <c r="AJ15" s="2" t="s">
        <v>138</v>
      </c>
      <c r="AK15" s="2">
        <v>40</v>
      </c>
      <c r="AL15" s="2" t="s">
        <v>139</v>
      </c>
      <c r="AM15" s="2" t="s">
        <v>129</v>
      </c>
      <c r="AN15" s="2">
        <v>55000</v>
      </c>
      <c r="AO15" s="13">
        <v>43866</v>
      </c>
    </row>
    <row r="16" spans="1:42" hidden="1">
      <c r="A16" s="16" t="s">
        <v>147</v>
      </c>
      <c r="AI16" s="219">
        <v>6</v>
      </c>
      <c r="AJ16" s="2" t="s">
        <v>140</v>
      </c>
      <c r="AK16" s="2">
        <v>33</v>
      </c>
      <c r="AL16" s="2" t="s">
        <v>134</v>
      </c>
      <c r="AM16" s="2" t="s">
        <v>141</v>
      </c>
      <c r="AN16" s="2">
        <v>70000</v>
      </c>
      <c r="AO16" s="13">
        <v>44518</v>
      </c>
    </row>
    <row r="17" spans="1:51" hidden="1">
      <c r="AI17" s="219">
        <v>7</v>
      </c>
      <c r="AJ17" s="2" t="s">
        <v>142</v>
      </c>
      <c r="AK17" s="2">
        <v>38</v>
      </c>
      <c r="AL17" s="2" t="s">
        <v>137</v>
      </c>
      <c r="AM17" s="2" t="s">
        <v>141</v>
      </c>
      <c r="AN17" s="2">
        <v>72000</v>
      </c>
      <c r="AO17" s="13">
        <v>43932</v>
      </c>
    </row>
    <row r="18" spans="1:51" hidden="1">
      <c r="AI18" s="219">
        <v>8</v>
      </c>
      <c r="AJ18" s="2" t="s">
        <v>143</v>
      </c>
      <c r="AK18" s="2">
        <v>29</v>
      </c>
      <c r="AL18" s="2" t="s">
        <v>128</v>
      </c>
      <c r="AM18" s="2" t="s">
        <v>135</v>
      </c>
      <c r="AN18" s="2">
        <v>65000</v>
      </c>
      <c r="AO18" s="13">
        <v>44428</v>
      </c>
    </row>
    <row r="19" spans="1:51" ht="28.8" hidden="1">
      <c r="A19" s="17" t="s">
        <v>148</v>
      </c>
      <c r="AI19" s="219">
        <v>9</v>
      </c>
      <c r="AJ19" s="2" t="s">
        <v>144</v>
      </c>
      <c r="AK19" s="2">
        <v>31</v>
      </c>
      <c r="AL19" s="2" t="s">
        <v>131</v>
      </c>
      <c r="AM19" s="2" t="s">
        <v>129</v>
      </c>
      <c r="AN19" s="2">
        <v>48000</v>
      </c>
      <c r="AO19" s="13">
        <v>43875</v>
      </c>
    </row>
    <row r="20" spans="1:51" ht="43.2">
      <c r="A20" s="17" t="s">
        <v>149</v>
      </c>
      <c r="E20" s="162">
        <f>MIN(Table54[Age])</f>
        <v>25</v>
      </c>
      <c r="F20" s="162">
        <f>MAX(Table54[Age])</f>
        <v>40</v>
      </c>
      <c r="AH20" s="162"/>
      <c r="AI20" s="223">
        <v>10</v>
      </c>
      <c r="AJ20" s="224" t="s">
        <v>145</v>
      </c>
      <c r="AK20" s="224">
        <v>36</v>
      </c>
      <c r="AL20" s="224" t="s">
        <v>139</v>
      </c>
      <c r="AM20" s="224" t="s">
        <v>132</v>
      </c>
      <c r="AN20" s="224">
        <v>70000</v>
      </c>
      <c r="AO20" s="225">
        <v>43647</v>
      </c>
      <c r="AP20" s="162"/>
    </row>
    <row r="21" spans="1:51">
      <c r="A21" s="15"/>
      <c r="AH21" s="162"/>
      <c r="AI21" s="162"/>
      <c r="AJ21" s="162"/>
      <c r="AK21" s="162"/>
      <c r="AL21" s="162"/>
      <c r="AM21" s="162"/>
      <c r="AN21" s="162"/>
      <c r="AO21" s="162"/>
      <c r="AP21" s="162"/>
      <c r="AR21" s="162"/>
      <c r="AS21" s="162"/>
      <c r="AT21" s="162"/>
      <c r="AU21" s="162"/>
      <c r="AV21" s="162"/>
      <c r="AW21" s="162"/>
      <c r="AX21" s="162"/>
      <c r="AY21" s="162"/>
    </row>
    <row r="22" spans="1:51">
      <c r="A22" s="16" t="s">
        <v>150</v>
      </c>
      <c r="AR22" s="162"/>
      <c r="AS22" s="222" t="s">
        <v>980</v>
      </c>
      <c r="AT22" s="162"/>
      <c r="AU22" s="162"/>
      <c r="AV22" s="162"/>
      <c r="AW22" s="162"/>
      <c r="AX22" s="162"/>
      <c r="AY22" s="162"/>
    </row>
    <row r="23" spans="1:51" ht="28.8">
      <c r="AR23" s="162"/>
      <c r="AS23" s="226" t="s">
        <v>120</v>
      </c>
      <c r="AT23" s="226" t="s">
        <v>121</v>
      </c>
      <c r="AU23" s="226" t="s">
        <v>122</v>
      </c>
      <c r="AV23" s="226" t="s">
        <v>123</v>
      </c>
      <c r="AW23" s="226" t="s">
        <v>124</v>
      </c>
      <c r="AX23" s="226" t="s">
        <v>125</v>
      </c>
      <c r="AY23" s="226" t="s">
        <v>126</v>
      </c>
    </row>
    <row r="24" spans="1:51" hidden="1">
      <c r="AS24" s="219">
        <v>1</v>
      </c>
      <c r="AT24" s="2" t="s">
        <v>127</v>
      </c>
      <c r="AU24" s="2">
        <v>30</v>
      </c>
      <c r="AV24" s="2" t="s">
        <v>128</v>
      </c>
      <c r="AW24" s="2" t="s">
        <v>129</v>
      </c>
      <c r="AX24" s="2">
        <v>50000</v>
      </c>
      <c r="AY24" s="13">
        <v>43831</v>
      </c>
    </row>
    <row r="25" spans="1:51" ht="28.8" hidden="1">
      <c r="A25" s="17" t="s">
        <v>151</v>
      </c>
      <c r="AS25" s="219">
        <v>2</v>
      </c>
      <c r="AT25" s="2" t="s">
        <v>130</v>
      </c>
      <c r="AU25" s="2">
        <v>25</v>
      </c>
      <c r="AV25" s="2" t="s">
        <v>131</v>
      </c>
      <c r="AW25" s="2" t="s">
        <v>132</v>
      </c>
      <c r="AX25" s="2">
        <v>60000</v>
      </c>
      <c r="AY25" s="13">
        <v>44270</v>
      </c>
    </row>
    <row r="26" spans="1:51" hidden="1">
      <c r="A26" s="17" t="s">
        <v>152</v>
      </c>
      <c r="E26" s="162" t="s">
        <v>133</v>
      </c>
      <c r="F26" s="162" t="s">
        <v>144</v>
      </c>
      <c r="AS26" s="219">
        <v>3</v>
      </c>
      <c r="AT26" s="2" t="s">
        <v>133</v>
      </c>
      <c r="AU26" s="2">
        <v>35</v>
      </c>
      <c r="AV26" s="2" t="s">
        <v>134</v>
      </c>
      <c r="AW26" s="2" t="s">
        <v>135</v>
      </c>
      <c r="AX26" s="2">
        <v>75000</v>
      </c>
      <c r="AY26" s="13">
        <v>43626</v>
      </c>
    </row>
    <row r="27" spans="1:51">
      <c r="A27" s="15"/>
      <c r="AR27" s="162"/>
      <c r="AS27" s="223">
        <v>4</v>
      </c>
      <c r="AT27" s="224" t="s">
        <v>136</v>
      </c>
      <c r="AU27" s="224">
        <v>28</v>
      </c>
      <c r="AV27" s="224" t="s">
        <v>137</v>
      </c>
      <c r="AW27" s="224" t="s">
        <v>132</v>
      </c>
      <c r="AX27" s="224">
        <v>62000</v>
      </c>
      <c r="AY27" s="225">
        <v>44461</v>
      </c>
    </row>
    <row r="28" spans="1:51" ht="43.2" hidden="1">
      <c r="A28" s="16" t="s">
        <v>153</v>
      </c>
      <c r="AS28" s="219">
        <v>5</v>
      </c>
      <c r="AT28" s="2" t="s">
        <v>138</v>
      </c>
      <c r="AU28" s="2">
        <v>40</v>
      </c>
      <c r="AV28" s="2" t="s">
        <v>139</v>
      </c>
      <c r="AW28" s="2" t="s">
        <v>129</v>
      </c>
      <c r="AX28" s="2">
        <v>55000</v>
      </c>
      <c r="AY28" s="13">
        <v>43866</v>
      </c>
    </row>
    <row r="29" spans="1:51" hidden="1">
      <c r="AS29" s="219">
        <v>6</v>
      </c>
      <c r="AT29" s="2" t="s">
        <v>140</v>
      </c>
      <c r="AU29" s="2">
        <v>33</v>
      </c>
      <c r="AV29" s="2" t="s">
        <v>134</v>
      </c>
      <c r="AW29" s="2" t="s">
        <v>141</v>
      </c>
      <c r="AX29" s="2">
        <v>70000</v>
      </c>
      <c r="AY29" s="13">
        <v>44518</v>
      </c>
    </row>
    <row r="30" spans="1:51">
      <c r="AR30" s="162"/>
      <c r="AS30" s="223">
        <v>7</v>
      </c>
      <c r="AT30" s="224" t="s">
        <v>142</v>
      </c>
      <c r="AU30" s="224">
        <v>38</v>
      </c>
      <c r="AV30" s="224" t="s">
        <v>137</v>
      </c>
      <c r="AW30" s="224" t="s">
        <v>141</v>
      </c>
      <c r="AX30" s="224">
        <v>72000</v>
      </c>
      <c r="AY30" s="225">
        <v>43932</v>
      </c>
    </row>
    <row r="31" spans="1:51" hidden="1">
      <c r="A31" s="17" t="s">
        <v>154</v>
      </c>
      <c r="E31" s="162" t="s">
        <v>140</v>
      </c>
      <c r="F31" s="162" t="s">
        <v>133</v>
      </c>
      <c r="AS31" s="219">
        <v>8</v>
      </c>
      <c r="AT31" s="2" t="s">
        <v>143</v>
      </c>
      <c r="AU31" s="2">
        <v>29</v>
      </c>
      <c r="AV31" s="2" t="s">
        <v>128</v>
      </c>
      <c r="AW31" s="2" t="s">
        <v>135</v>
      </c>
      <c r="AX31" s="2">
        <v>65000</v>
      </c>
      <c r="AY31" s="13">
        <v>44428</v>
      </c>
    </row>
    <row r="32" spans="1:51" ht="28.8" hidden="1">
      <c r="A32" s="17" t="s">
        <v>155</v>
      </c>
      <c r="AS32" s="219">
        <v>9</v>
      </c>
      <c r="AT32" s="2" t="s">
        <v>144</v>
      </c>
      <c r="AU32" s="2">
        <v>31</v>
      </c>
      <c r="AV32" s="2" t="s">
        <v>131</v>
      </c>
      <c r="AW32" s="2" t="s">
        <v>129</v>
      </c>
      <c r="AX32" s="2">
        <v>48000</v>
      </c>
      <c r="AY32" s="13">
        <v>43875</v>
      </c>
    </row>
    <row r="33" spans="1:60" ht="43.2" hidden="1">
      <c r="A33" s="10"/>
      <c r="AS33" s="219">
        <v>10</v>
      </c>
      <c r="AT33" s="2" t="s">
        <v>145</v>
      </c>
      <c r="AU33" s="2">
        <v>36</v>
      </c>
      <c r="AV33" s="2" t="s">
        <v>139</v>
      </c>
      <c r="AW33" s="2" t="s">
        <v>132</v>
      </c>
      <c r="AX33" s="2">
        <v>70000</v>
      </c>
      <c r="AY33" s="13">
        <v>43647</v>
      </c>
    </row>
    <row r="34" spans="1:60" ht="15.6">
      <c r="A34" s="14" t="s">
        <v>156</v>
      </c>
      <c r="AR34" s="162"/>
      <c r="AS34" s="162"/>
      <c r="AT34" s="162"/>
      <c r="AU34" s="162"/>
      <c r="AV34" s="162"/>
      <c r="AW34" s="162"/>
      <c r="AX34" s="162"/>
      <c r="AY34" s="162"/>
      <c r="AZ34" s="162"/>
      <c r="BA34" s="162"/>
      <c r="BB34" s="162"/>
      <c r="BC34" s="162"/>
      <c r="BD34" s="162"/>
      <c r="BE34" s="162"/>
      <c r="BF34" s="162"/>
      <c r="BG34" s="162"/>
      <c r="BH34" s="162"/>
    </row>
    <row r="35" spans="1:60">
      <c r="A35" s="15"/>
      <c r="AR35" s="162"/>
      <c r="AS35" s="162"/>
      <c r="AT35" s="162"/>
      <c r="AU35" s="162"/>
      <c r="AV35" s="162"/>
      <c r="AW35" s="162"/>
      <c r="AX35" s="162"/>
      <c r="AY35" s="162"/>
      <c r="AZ35" s="162"/>
      <c r="BA35" s="222" t="s">
        <v>981</v>
      </c>
      <c r="BB35" s="162"/>
      <c r="BC35" s="162"/>
      <c r="BD35" s="162"/>
      <c r="BE35" s="162"/>
      <c r="BF35" s="162"/>
      <c r="BG35" s="162"/>
      <c r="BH35" s="162"/>
    </row>
    <row r="36" spans="1:60" ht="28.8">
      <c r="A36" s="16" t="s">
        <v>157</v>
      </c>
      <c r="AZ36" s="162"/>
      <c r="BA36" s="226" t="s">
        <v>120</v>
      </c>
      <c r="BB36" s="226" t="s">
        <v>121</v>
      </c>
      <c r="BC36" s="226" t="s">
        <v>122</v>
      </c>
      <c r="BD36" s="226" t="s">
        <v>123</v>
      </c>
      <c r="BE36" s="226" t="s">
        <v>124</v>
      </c>
      <c r="BF36" s="226" t="s">
        <v>125</v>
      </c>
      <c r="BG36" s="226" t="s">
        <v>126</v>
      </c>
      <c r="BH36" s="162"/>
    </row>
    <row r="37" spans="1:60" hidden="1">
      <c r="BA37" s="219">
        <v>1</v>
      </c>
      <c r="BB37" s="2" t="s">
        <v>127</v>
      </c>
      <c r="BC37" s="2">
        <v>30</v>
      </c>
      <c r="BD37" s="2" t="s">
        <v>128</v>
      </c>
      <c r="BE37" s="2" t="s">
        <v>129</v>
      </c>
      <c r="BF37" s="2">
        <v>50000</v>
      </c>
      <c r="BG37" s="13">
        <v>43831</v>
      </c>
    </row>
    <row r="38" spans="1:60" ht="28.8" hidden="1">
      <c r="BA38" s="219">
        <v>2</v>
      </c>
      <c r="BB38" s="2" t="s">
        <v>130</v>
      </c>
      <c r="BC38" s="2">
        <v>25</v>
      </c>
      <c r="BD38" s="2" t="s">
        <v>131</v>
      </c>
      <c r="BE38" s="2" t="s">
        <v>132</v>
      </c>
      <c r="BF38" s="2">
        <v>60000</v>
      </c>
      <c r="BG38" s="13">
        <v>44270</v>
      </c>
    </row>
    <row r="39" spans="1:60" hidden="1">
      <c r="A39" s="17" t="s">
        <v>158</v>
      </c>
      <c r="BA39" s="219">
        <v>3</v>
      </c>
      <c r="BB39" s="2" t="s">
        <v>133</v>
      </c>
      <c r="BC39" s="2">
        <v>35</v>
      </c>
      <c r="BD39" s="2" t="s">
        <v>134</v>
      </c>
      <c r="BE39" s="2" t="s">
        <v>135</v>
      </c>
      <c r="BF39" s="2">
        <v>75000</v>
      </c>
      <c r="BG39" s="13">
        <v>43626</v>
      </c>
    </row>
    <row r="40" spans="1:60" hidden="1">
      <c r="A40" s="17" t="s">
        <v>159</v>
      </c>
      <c r="D40" s="162">
        <v>3</v>
      </c>
      <c r="BA40" s="219">
        <v>4</v>
      </c>
      <c r="BB40" s="2" t="s">
        <v>136</v>
      </c>
      <c r="BC40" s="2">
        <v>28</v>
      </c>
      <c r="BD40" s="2" t="s">
        <v>137</v>
      </c>
      <c r="BE40" s="2" t="s">
        <v>132</v>
      </c>
      <c r="BF40" s="2">
        <v>62000</v>
      </c>
      <c r="BG40" s="13">
        <v>44461</v>
      </c>
    </row>
    <row r="41" spans="1:60" ht="43.2" hidden="1">
      <c r="A41" s="15"/>
      <c r="BA41" s="219">
        <v>5</v>
      </c>
      <c r="BB41" s="2" t="s">
        <v>138</v>
      </c>
      <c r="BC41" s="2">
        <v>40</v>
      </c>
      <c r="BD41" s="2" t="s">
        <v>139</v>
      </c>
      <c r="BE41" s="2" t="s">
        <v>129</v>
      </c>
      <c r="BF41" s="2">
        <v>55000</v>
      </c>
      <c r="BG41" s="13">
        <v>43866</v>
      </c>
    </row>
    <row r="42" spans="1:60">
      <c r="A42" s="16" t="s">
        <v>160</v>
      </c>
      <c r="AZ42" s="162"/>
      <c r="BA42" s="223">
        <v>6</v>
      </c>
      <c r="BB42" s="224" t="s">
        <v>140</v>
      </c>
      <c r="BC42" s="224">
        <v>33</v>
      </c>
      <c r="BD42" s="224" t="s">
        <v>134</v>
      </c>
      <c r="BE42" s="224" t="s">
        <v>141</v>
      </c>
      <c r="BF42" s="224">
        <v>70000</v>
      </c>
      <c r="BG42" s="225">
        <v>44518</v>
      </c>
      <c r="BH42" s="162"/>
    </row>
    <row r="43" spans="1:60">
      <c r="AZ43" s="162"/>
      <c r="BA43" s="223">
        <v>7</v>
      </c>
      <c r="BB43" s="224" t="s">
        <v>142</v>
      </c>
      <c r="BC43" s="224">
        <v>38</v>
      </c>
      <c r="BD43" s="224" t="s">
        <v>137</v>
      </c>
      <c r="BE43" s="224" t="s">
        <v>141</v>
      </c>
      <c r="BF43" s="224">
        <v>72000</v>
      </c>
      <c r="BG43" s="225">
        <v>43932</v>
      </c>
      <c r="BH43" s="162"/>
    </row>
    <row r="44" spans="1:60" hidden="1">
      <c r="BA44" s="219">
        <v>8</v>
      </c>
      <c r="BB44" s="2" t="s">
        <v>143</v>
      </c>
      <c r="BC44" s="2">
        <v>29</v>
      </c>
      <c r="BD44" s="2" t="s">
        <v>128</v>
      </c>
      <c r="BE44" s="2" t="s">
        <v>135</v>
      </c>
      <c r="BF44" s="2">
        <v>65000</v>
      </c>
      <c r="BG44" s="13">
        <v>44428</v>
      </c>
    </row>
    <row r="45" spans="1:60" ht="28.8" hidden="1">
      <c r="A45" s="17" t="s">
        <v>161</v>
      </c>
      <c r="BA45" s="219">
        <v>9</v>
      </c>
      <c r="BB45" s="2" t="s">
        <v>144</v>
      </c>
      <c r="BC45" s="2">
        <v>31</v>
      </c>
      <c r="BD45" s="2" t="s">
        <v>131</v>
      </c>
      <c r="BE45" s="2" t="s">
        <v>129</v>
      </c>
      <c r="BF45" s="2">
        <v>48000</v>
      </c>
      <c r="BG45" s="13">
        <v>43875</v>
      </c>
    </row>
    <row r="46" spans="1:60" ht="43.2" hidden="1">
      <c r="A46" s="17" t="s">
        <v>162</v>
      </c>
      <c r="D46" s="162" t="s">
        <v>136</v>
      </c>
      <c r="E46" s="162" t="s">
        <v>142</v>
      </c>
      <c r="BA46" s="219">
        <v>10</v>
      </c>
      <c r="BB46" s="2" t="s">
        <v>145</v>
      </c>
      <c r="BC46" s="2">
        <v>36</v>
      </c>
      <c r="BD46" s="2" t="s">
        <v>139</v>
      </c>
      <c r="BE46" s="2" t="s">
        <v>132</v>
      </c>
      <c r="BF46" s="2">
        <v>70000</v>
      </c>
      <c r="BG46" s="13">
        <v>43647</v>
      </c>
    </row>
    <row r="47" spans="1:60">
      <c r="A47" s="15"/>
      <c r="AZ47" s="162"/>
      <c r="BA47" s="162"/>
      <c r="BB47" s="162"/>
      <c r="BC47" s="162"/>
      <c r="BD47" s="162"/>
      <c r="BE47" s="162"/>
      <c r="BF47" s="162"/>
      <c r="BG47" s="162"/>
      <c r="BH47" s="162"/>
    </row>
    <row r="48" spans="1:60">
      <c r="A48" s="16" t="s">
        <v>165</v>
      </c>
    </row>
    <row r="49" spans="1:9">
      <c r="H49" s="227"/>
      <c r="I49" s="227"/>
    </row>
    <row r="50" spans="1:9">
      <c r="H50" s="227" t="s">
        <v>122</v>
      </c>
      <c r="I50" s="227" t="s">
        <v>124</v>
      </c>
    </row>
    <row r="51" spans="1:9">
      <c r="A51" s="17" t="s">
        <v>163</v>
      </c>
      <c r="H51" s="227" t="s">
        <v>982</v>
      </c>
      <c r="I51" s="227" t="s">
        <v>141</v>
      </c>
    </row>
    <row r="52" spans="1:9">
      <c r="A52" s="17" t="s">
        <v>164</v>
      </c>
      <c r="D52" s="162" t="s">
        <v>140</v>
      </c>
      <c r="E52" s="162" t="s">
        <v>142</v>
      </c>
    </row>
  </sheetData>
  <pageMargins left="0.7" right="0.7" top="0.75" bottom="0.75" header="0.3" footer="0.3"/>
  <tableParts count="7">
    <tablePart r:id="rId1"/>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F9D18998ACA748A222254FB52A30DB" ma:contentTypeVersion="6" ma:contentTypeDescription="Create a new document." ma:contentTypeScope="" ma:versionID="518ee263d09a796469b1bfb12a9dfd63">
  <xsd:schema xmlns:xsd="http://www.w3.org/2001/XMLSchema" xmlns:xs="http://www.w3.org/2001/XMLSchema" xmlns:p="http://schemas.microsoft.com/office/2006/metadata/properties" xmlns:ns3="b659fd57-b252-419d-ba9a-8f343e1d93d0" targetNamespace="http://schemas.microsoft.com/office/2006/metadata/properties" ma:root="true" ma:fieldsID="0171582251ab00a206c8ed1c099adafc" ns3:_="">
    <xsd:import namespace="b659fd57-b252-419d-ba9a-8f343e1d93d0"/>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59fd57-b252-419d-ba9a-8f343e1d93d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b659fd57-b252-419d-ba9a-8f343e1d93d0" xsi:nil="true"/>
  </documentManagement>
</p:properties>
</file>

<file path=customXml/itemProps1.xml><?xml version="1.0" encoding="utf-8"?>
<ds:datastoreItem xmlns:ds="http://schemas.openxmlformats.org/officeDocument/2006/customXml" ds:itemID="{7811D08F-D477-4AFA-9C6E-74A495A7D65E}">
  <ds:schemaRefs>
    <ds:schemaRef ds:uri="http://schemas.microsoft.com/sharepoint/v3/contenttype/forms"/>
  </ds:schemaRefs>
</ds:datastoreItem>
</file>

<file path=customXml/itemProps2.xml><?xml version="1.0" encoding="utf-8"?>
<ds:datastoreItem xmlns:ds="http://schemas.openxmlformats.org/officeDocument/2006/customXml" ds:itemID="{3FF91A91-0DAB-41CB-9816-EE44C338B9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59fd57-b252-419d-ba9a-8f343e1d93d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BF7C3B5-944A-4898-8C37-D57758BF72AB}">
  <ds:schemaRefs>
    <ds:schemaRef ds:uri="http://schemas.microsoft.com/office/2006/documentManagement/types"/>
    <ds:schemaRef ds:uri="http://schemas.microsoft.com/office/infopath/2007/PartnerControls"/>
    <ds:schemaRef ds:uri="http://schemas.microsoft.com/office/2006/metadata/properties"/>
    <ds:schemaRef ds:uri="http://purl.org/dc/terms/"/>
    <ds:schemaRef ds:uri="http://www.w3.org/XML/1998/namespace"/>
    <ds:schemaRef ds:uri="http://purl.org/dc/elements/1.1/"/>
    <ds:schemaRef ds:uri="b659fd57-b252-419d-ba9a-8f343e1d93d0"/>
    <ds:schemaRef ds:uri="http://purl.org/dc/dcmitype/"/>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vt:i4>
      </vt:variant>
    </vt:vector>
  </HeadingPairs>
  <TitlesOfParts>
    <vt:vector size="23" baseType="lpstr">
      <vt:lpstr>1</vt:lpstr>
      <vt:lpstr>2</vt:lpstr>
      <vt:lpstr>3</vt:lpstr>
      <vt:lpstr>4</vt:lpstr>
      <vt:lpstr>5</vt:lpstr>
      <vt:lpstr>6</vt:lpstr>
      <vt:lpstr>7</vt:lpstr>
      <vt:lpstr>8</vt:lpstr>
      <vt:lpstr>9</vt:lpstr>
      <vt:lpstr>9 sol</vt:lpstr>
      <vt:lpstr>10</vt:lpstr>
      <vt:lpstr>11</vt:lpstr>
      <vt:lpstr>12</vt:lpstr>
      <vt:lpstr>13</vt:lpstr>
      <vt:lpstr>14</vt:lpstr>
      <vt:lpstr>15</vt:lpstr>
      <vt:lpstr>16</vt:lpstr>
      <vt:lpstr>17</vt:lpstr>
      <vt:lpstr>'17'!Criteria</vt:lpstr>
      <vt:lpstr>'6'!Honda</vt:lpstr>
      <vt:lpstr>'6'!Hyundai</vt:lpstr>
      <vt:lpstr>'6'!percent</vt:lpstr>
      <vt:lpstr>'6'!Toyota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Soni</dc:creator>
  <cp:lastModifiedBy>Sanjana .</cp:lastModifiedBy>
  <dcterms:created xsi:type="dcterms:W3CDTF">2025-02-06T09:09:16Z</dcterms:created>
  <dcterms:modified xsi:type="dcterms:W3CDTF">2025-11-16T16:20:31Z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0x0101001BF9D18998ACA748A222254FB52A30DB</vt:lpwstr>
  </property>
</Properties>
</file>