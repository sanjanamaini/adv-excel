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sanju\Downloads\"/>
    </mc:Choice>
  </mc:AlternateContent>
  <xr:revisionPtr revIDLastSave="0" documentId="13_ncr:1_{7B249E5A-2650-4541-B811-CD420C46BAF7}" xr6:coauthVersionLast="47" xr6:coauthVersionMax="47" xr10:uidLastSave="{00000000-0000-0000-0000-000000000000}"/>
  <bookViews>
    <workbookView xWindow="-108" yWindow="-108" windowWidth="23256" windowHeight="12456" firstSheet="1" activeTab="2" xr2:uid="{00000000-000D-0000-FFFF-FFFF00000000}"/>
  </bookViews>
  <sheets>
    <sheet name="Instructions" sheetId="3" r:id="rId1"/>
    <sheet name="Data " sheetId="1" r:id="rId2"/>
    <sheet name="Pivot_Tables" sheetId="6" r:id="rId3"/>
    <sheet name="Dashboard" sheetId="5" r:id="rId4"/>
    <sheet name="Dashboard visual example" sheetId="2" r:id="rId5"/>
  </sheets>
  <definedNames>
    <definedName name="Slicer_City">#N/A</definedName>
    <definedName name="Slicer_Department">#N/A</definedName>
    <definedName name="Slicer_Gender">#N/A</definedName>
    <definedName name="Slicer_Semest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5" l="1"/>
  <c r="P6" i="5"/>
  <c r="J6" i="5"/>
  <c r="D6" i="5"/>
</calcChain>
</file>

<file path=xl/sharedStrings.xml><?xml version="1.0" encoding="utf-8"?>
<sst xmlns="http://schemas.openxmlformats.org/spreadsheetml/2006/main" count="853" uniqueCount="213">
  <si>
    <t>Student ID</t>
  </si>
  <si>
    <t>Student Name</t>
  </si>
  <si>
    <t>Gender</t>
  </si>
  <si>
    <t>Department</t>
  </si>
  <si>
    <t>Course Name</t>
  </si>
  <si>
    <t>Semester</t>
  </si>
  <si>
    <t>Attendance (%)</t>
  </si>
  <si>
    <t>Internal Marks</t>
  </si>
  <si>
    <t>External Marks</t>
  </si>
  <si>
    <t>Total Marks</t>
  </si>
  <si>
    <t>Grade</t>
  </si>
  <si>
    <t>City</t>
  </si>
  <si>
    <t>Admission Year</t>
  </si>
  <si>
    <t>Academic Year</t>
  </si>
  <si>
    <t>Placement Status</t>
  </si>
  <si>
    <t>Internship Score</t>
  </si>
  <si>
    <t>Mentor Name</t>
  </si>
  <si>
    <t>ST001</t>
  </si>
  <si>
    <t>Siddharth Rathi</t>
  </si>
  <si>
    <t>M</t>
  </si>
  <si>
    <t>BBA</t>
  </si>
  <si>
    <t>Operations</t>
  </si>
  <si>
    <t>III</t>
  </si>
  <si>
    <t>B+</t>
  </si>
  <si>
    <t>Delhi</t>
  </si>
  <si>
    <t>2024-2025</t>
  </si>
  <si>
    <t>Not Placed</t>
  </si>
  <si>
    <t>Mr. Nair</t>
  </si>
  <si>
    <t>ST002</t>
  </si>
  <si>
    <t>Siddharth Jain</t>
  </si>
  <si>
    <t>BCOM</t>
  </si>
  <si>
    <t>Banking</t>
  </si>
  <si>
    <t>IV</t>
  </si>
  <si>
    <t>Mumbai</t>
  </si>
  <si>
    <t>Placed</t>
  </si>
  <si>
    <t>Mr. Iyer</t>
  </si>
  <si>
    <t>ST003</t>
  </si>
  <si>
    <t>Aditi Sharma</t>
  </si>
  <si>
    <t>F</t>
  </si>
  <si>
    <t>MBA</t>
  </si>
  <si>
    <t>Business Analytics</t>
  </si>
  <si>
    <t>I</t>
  </si>
  <si>
    <t>A</t>
  </si>
  <si>
    <t>Hyderabad</t>
  </si>
  <si>
    <t>Ms. Patel</t>
  </si>
  <si>
    <t>ST004</t>
  </si>
  <si>
    <t>Ishaan Nair</t>
  </si>
  <si>
    <t>Finance</t>
  </si>
  <si>
    <t>II</t>
  </si>
  <si>
    <t>Ahmedabad</t>
  </si>
  <si>
    <t>ST005</t>
  </si>
  <si>
    <t>Siddharth Verma</t>
  </si>
  <si>
    <t>Economics</t>
  </si>
  <si>
    <t>Mrs. Verma</t>
  </si>
  <si>
    <t>ST006</t>
  </si>
  <si>
    <t>Shreya Kapoor</t>
  </si>
  <si>
    <t>Jaipur</t>
  </si>
  <si>
    <t>ST007</t>
  </si>
  <si>
    <t>Arjun Verma</t>
  </si>
  <si>
    <t>Entrepreneurship</t>
  </si>
  <si>
    <t>A+</t>
  </si>
  <si>
    <t>ST008</t>
  </si>
  <si>
    <t>Ananya Patel</t>
  </si>
  <si>
    <t>Digital Marketing</t>
  </si>
  <si>
    <t>ST009</t>
  </si>
  <si>
    <t>Pooja Mehta</t>
  </si>
  <si>
    <t>Indore</t>
  </si>
  <si>
    <t>ST010</t>
  </si>
  <si>
    <t>Simran Jain</t>
  </si>
  <si>
    <t>HR</t>
  </si>
  <si>
    <t>B</t>
  </si>
  <si>
    <t>Nagpur</t>
  </si>
  <si>
    <t>ST011</t>
  </si>
  <si>
    <t>Ankit Deshmukh</t>
  </si>
  <si>
    <t>Taxation</t>
  </si>
  <si>
    <t>ST012</t>
  </si>
  <si>
    <t>Shreya Verma</t>
  </si>
  <si>
    <t>Marketing</t>
  </si>
  <si>
    <t>ST013</t>
  </si>
  <si>
    <t>Vivaan Patel</t>
  </si>
  <si>
    <t>Chennai</t>
  </si>
  <si>
    <t>ST014</t>
  </si>
  <si>
    <t>ST015</t>
  </si>
  <si>
    <t>Ayaan Rao</t>
  </si>
  <si>
    <t>Accounting</t>
  </si>
  <si>
    <t>ST016</t>
  </si>
  <si>
    <t>Kavya Deshmukh</t>
  </si>
  <si>
    <t>ST017</t>
  </si>
  <si>
    <t>Arjun Rao</t>
  </si>
  <si>
    <t>Bangalore</t>
  </si>
  <si>
    <t>Mr. Sharma</t>
  </si>
  <si>
    <t>ST018</t>
  </si>
  <si>
    <t>Kavya Rao</t>
  </si>
  <si>
    <t>ST019</t>
  </si>
  <si>
    <t>Diya Nair</t>
  </si>
  <si>
    <t>ST020</t>
  </si>
  <si>
    <t>Karan Verma</t>
  </si>
  <si>
    <t>ST021</t>
  </si>
  <si>
    <t>Ananya Nair</t>
  </si>
  <si>
    <t>ST022</t>
  </si>
  <si>
    <t>Riya Nair</t>
  </si>
  <si>
    <t>ST023</t>
  </si>
  <si>
    <t>Priya Jain</t>
  </si>
  <si>
    <t>ST024</t>
  </si>
  <si>
    <t>Ankit Patel</t>
  </si>
  <si>
    <t>ST025</t>
  </si>
  <si>
    <t>Sneha Patel</t>
  </si>
  <si>
    <t>ST026</t>
  </si>
  <si>
    <t>ST027</t>
  </si>
  <si>
    <t>Ishaan Deshmukh</t>
  </si>
  <si>
    <t>ST028</t>
  </si>
  <si>
    <t>Diya Sharma</t>
  </si>
  <si>
    <t>ST029</t>
  </si>
  <si>
    <t>Aditya Rathi</t>
  </si>
  <si>
    <t>ST030</t>
  </si>
  <si>
    <t>Aditya Sharma</t>
  </si>
  <si>
    <t>ST031</t>
  </si>
  <si>
    <t>Neha Patel</t>
  </si>
  <si>
    <t>ST032</t>
  </si>
  <si>
    <t>Meera Verma</t>
  </si>
  <si>
    <t>ST033</t>
  </si>
  <si>
    <t>Simran Kapoor</t>
  </si>
  <si>
    <t>ST034</t>
  </si>
  <si>
    <t>Meera Nair</t>
  </si>
  <si>
    <t>ST035</t>
  </si>
  <si>
    <t>Arjun Sharma</t>
  </si>
  <si>
    <t>ST036</t>
  </si>
  <si>
    <t>Pooja Patel</t>
  </si>
  <si>
    <t>ST037</t>
  </si>
  <si>
    <t>Riya Rao</t>
  </si>
  <si>
    <t>ST038</t>
  </si>
  <si>
    <t>Diya Patel</t>
  </si>
  <si>
    <t>ST039</t>
  </si>
  <si>
    <t>ST040</t>
  </si>
  <si>
    <t>Ankit Kapoor</t>
  </si>
  <si>
    <t>ST041</t>
  </si>
  <si>
    <t>ST042</t>
  </si>
  <si>
    <t>ST043</t>
  </si>
  <si>
    <t>Meera Rathi</t>
  </si>
  <si>
    <t>Pune</t>
  </si>
  <si>
    <t>ST044</t>
  </si>
  <si>
    <t>Arjun Mehta</t>
  </si>
  <si>
    <t>ST045</t>
  </si>
  <si>
    <t>Siddharth Kapoor</t>
  </si>
  <si>
    <t>ST046</t>
  </si>
  <si>
    <t>Sneha Deshmukh</t>
  </si>
  <si>
    <t>ST047</t>
  </si>
  <si>
    <t>Meera Sharma</t>
  </si>
  <si>
    <t>ST048</t>
  </si>
  <si>
    <t>ST049</t>
  </si>
  <si>
    <t>Ishaan Verma</t>
  </si>
  <si>
    <t>ST050</t>
  </si>
  <si>
    <t>Aarav Jain</t>
  </si>
  <si>
    <t>ST051</t>
  </si>
  <si>
    <t>Priya Kapoor</t>
  </si>
  <si>
    <t>ST052</t>
  </si>
  <si>
    <t>Ananya Rao</t>
  </si>
  <si>
    <t>ST053</t>
  </si>
  <si>
    <t>Vivek Patel</t>
  </si>
  <si>
    <t>ST054</t>
  </si>
  <si>
    <t>ST055</t>
  </si>
  <si>
    <t>Meera Kapoor</t>
  </si>
  <si>
    <t>ST056</t>
  </si>
  <si>
    <t>Diya Mehta</t>
  </si>
  <si>
    <t>ST057</t>
  </si>
  <si>
    <t>Aditya Mehta</t>
  </si>
  <si>
    <t>ST058</t>
  </si>
  <si>
    <t>Kavya Patel</t>
  </si>
  <si>
    <t>ST059</t>
  </si>
  <si>
    <t>Priya Sharma</t>
  </si>
  <si>
    <t>ST060</t>
  </si>
  <si>
    <t>Aarav Deshmukh</t>
  </si>
  <si>
    <t>ST061</t>
  </si>
  <si>
    <t>Aditi Mehta</t>
  </si>
  <si>
    <t>ST062</t>
  </si>
  <si>
    <t>Pooja Deshmukh</t>
  </si>
  <si>
    <t>ST063</t>
  </si>
  <si>
    <t>Ayaan Patel</t>
  </si>
  <si>
    <t>ST064</t>
  </si>
  <si>
    <t>ST065</t>
  </si>
  <si>
    <t>Aditi Jain</t>
  </si>
  <si>
    <t>ST066</t>
  </si>
  <si>
    <t>Priya Rao</t>
  </si>
  <si>
    <t>ST067</t>
  </si>
  <si>
    <t>ST068</t>
  </si>
  <si>
    <t>Aarav Patel</t>
  </si>
  <si>
    <t>ST069</t>
  </si>
  <si>
    <t>Raj Rao</t>
  </si>
  <si>
    <t>ST070</t>
  </si>
  <si>
    <t>Ankit Verma</t>
  </si>
  <si>
    <t>Instructions</t>
  </si>
  <si>
    <t>Create a Dashboard as per the instructions given in AET task word file.</t>
  </si>
  <si>
    <t>Dashboard visual example is also shared for your reference in the last tab- That is just for reference</t>
  </si>
  <si>
    <t>STUDENT PERFORMANCE DASHBOARD 2023-24</t>
  </si>
  <si>
    <t>Row Labels</t>
  </si>
  <si>
    <t>Grand Total</t>
  </si>
  <si>
    <t>Average of Total Marks</t>
  </si>
  <si>
    <t>Column Labels</t>
  </si>
  <si>
    <t>Count of Student ID</t>
  </si>
  <si>
    <t>Average of Internship Score</t>
  </si>
  <si>
    <t>Average of Attendance (%)</t>
  </si>
  <si>
    <t>AVERGAE ATTENDANCE %</t>
  </si>
  <si>
    <t>OVERALL AVERAGE MARKS</t>
  </si>
  <si>
    <t>No. OF STUDENTS</t>
  </si>
  <si>
    <t>PLACEMENT %</t>
  </si>
  <si>
    <t>A Comprehensive Overview of Academic Performance and Opportunities</t>
  </si>
  <si>
    <t>MBA Department has the highest average marks.</t>
  </si>
  <si>
    <t>BCOM Department has highest number of placed students.</t>
  </si>
  <si>
    <t>Equal number of Male and Female students have scored A+.</t>
  </si>
  <si>
    <t>Accounting has the least average total marks but the highest</t>
  </si>
  <si>
    <t xml:space="preserve"> Attendance %.</t>
  </si>
  <si>
    <t xml:space="preserve">Mr. Nair gave the highest average internship </t>
  </si>
  <si>
    <t>score to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</si>
</sst>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charset val="134"/>
      <scheme val="minor"/>
    </font>
    <font>
      <sz val="11"/>
      <color theme="1"/>
      <name val="Calibri"/>
      <family val="2"/>
      <scheme val="minor"/>
    </font>
    <font>
      <b/>
      <sz val="11"/>
      <color theme="1"/>
      <name val="Calibri"/>
      <family val="2"/>
      <scheme val="minor"/>
    </font>
    <font>
      <sz val="11"/>
      <color theme="1"/>
      <name val="Calibri"/>
      <charset val="134"/>
      <scheme val="minor"/>
    </font>
    <font>
      <b/>
      <sz val="11"/>
      <color theme="3"/>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
      <sz val="20"/>
      <color theme="1"/>
      <name val="Calibri"/>
      <family val="2"/>
      <scheme val="minor"/>
    </font>
    <font>
      <i/>
      <sz val="14"/>
      <color theme="1"/>
      <name val="Calibri"/>
      <family val="2"/>
      <scheme val="minor"/>
    </font>
    <font>
      <sz val="14"/>
      <color rgb="FFFF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6" tint="0.39997558519241921"/>
        <bgColor indexed="64"/>
      </patternFill>
    </fill>
  </fills>
  <borders count="10">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0" fontId="2" fillId="0" borderId="0" xfId="0" applyFont="1"/>
    <xf numFmtId="0" fontId="0" fillId="2" borderId="0" xfId="0" applyFill="1"/>
    <xf numFmtId="0" fontId="2" fillId="3" borderId="1" xfId="0" applyFont="1" applyFill="1" applyBorder="1" applyAlignment="1">
      <alignment horizontal="center" vertical="top"/>
    </xf>
    <xf numFmtId="0" fontId="2" fillId="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0" fontId="6" fillId="4"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vertical="top"/>
    </xf>
    <xf numFmtId="0" fontId="1" fillId="2" borderId="0" xfId="0" applyFont="1" applyFill="1"/>
    <xf numFmtId="0" fontId="0" fillId="0" borderId="0" xfId="0" applyAlignment="1">
      <alignment horizontal="center"/>
    </xf>
    <xf numFmtId="0" fontId="0" fillId="5" borderId="0" xfId="0" applyFill="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9" xfId="0" applyFill="1" applyBorder="1"/>
    <xf numFmtId="0" fontId="4" fillId="2" borderId="0" xfId="0" applyFont="1" applyFill="1" applyAlignment="1">
      <alignment horizontal="center"/>
    </xf>
    <xf numFmtId="0" fontId="0" fillId="2" borderId="0" xfId="0" applyFill="1" applyAlignment="1">
      <alignment horizontal="center"/>
    </xf>
    <xf numFmtId="0" fontId="4" fillId="2" borderId="0" xfId="0" applyFont="1" applyFill="1" applyAlignment="1">
      <alignment horizontal="center" vertical="top"/>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0" xfId="0" applyFont="1" applyFill="1" applyAlignment="1">
      <alignment horizontal="center" vertical="center"/>
    </xf>
    <xf numFmtId="0" fontId="5" fillId="6" borderId="6" xfId="0" applyFont="1" applyFill="1" applyBorder="1" applyAlignment="1">
      <alignment horizontal="center" vertical="center"/>
    </xf>
    <xf numFmtId="0" fontId="7" fillId="4" borderId="0" xfId="0" applyFont="1" applyFill="1" applyAlignment="1">
      <alignment horizontal="center"/>
    </xf>
    <xf numFmtId="0" fontId="8" fillId="4" borderId="0" xfId="0" applyFont="1" applyFill="1" applyAlignment="1">
      <alignment horizontal="center"/>
    </xf>
    <xf numFmtId="0" fontId="10" fillId="6" borderId="0" xfId="0" applyFont="1" applyFill="1" applyAlignment="1">
      <alignment horizontal="center"/>
    </xf>
    <xf numFmtId="9" fontId="10" fillId="6" borderId="0" xfId="1" applyFont="1" applyFill="1" applyBorder="1" applyAlignment="1">
      <alignment horizontal="center"/>
    </xf>
    <xf numFmtId="0" fontId="9" fillId="4" borderId="0" xfId="0" applyFont="1" applyFill="1" applyAlignment="1">
      <alignment horizontal="center"/>
    </xf>
  </cellXfs>
  <cellStyles count="2">
    <cellStyle name="Normal" xfId="0" builtinId="0"/>
    <cellStyle name="Percent" xfId="1" builtinId="5"/>
  </cellStyles>
  <dxfs count="7">
    <dxf>
      <numFmt numFmtId="164" formatCode="0.0"/>
    </dxf>
    <dxf>
      <numFmt numFmtId="164" formatCode="0.0"/>
    </dxf>
    <dxf>
      <alignment horizontal="center"/>
    </dxf>
    <dxf>
      <alignment horizontal="cent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charset val="134"/>
        <scheme val="minor"/>
      </font>
      <fill>
        <patternFill patternType="solid">
          <fgColor indexed="64"/>
          <bgColor theme="0" tint="-0.1499984740745262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Pivot_Tables!$A$4:$A$7</c:f>
              <c:strCache>
                <c:ptCount val="3"/>
                <c:pt idx="0">
                  <c:v>BBA</c:v>
                </c:pt>
                <c:pt idx="1">
                  <c:v>BCOM</c:v>
                </c:pt>
                <c:pt idx="2">
                  <c:v>MBA</c:v>
                </c:pt>
              </c:strCache>
            </c:strRef>
          </c:cat>
          <c:val>
            <c:numRef>
              <c:f>Pivot_Tables!$B$4:$B$7</c:f>
              <c:numCache>
                <c:formatCode>General</c:formatCode>
                <c:ptCount val="3"/>
                <c:pt idx="0">
                  <c:v>79.913043478260875</c:v>
                </c:pt>
                <c:pt idx="1">
                  <c:v>78.34615384615384</c:v>
                </c:pt>
                <c:pt idx="2">
                  <c:v>81.285714285714292</c:v>
                </c:pt>
              </c:numCache>
            </c:numRef>
          </c:val>
          <c:extLst>
            <c:ext xmlns:c16="http://schemas.microsoft.com/office/drawing/2014/chart" uri="{C3380CC4-5D6E-409C-BE32-E72D297353CC}">
              <c16:uniqueId val="{00000000-5E08-43F8-A966-9E650A73DAF9}"/>
            </c:ext>
          </c:extLst>
        </c:ser>
        <c:dLbls>
          <c:showLegendKey val="0"/>
          <c:showVal val="0"/>
          <c:showCatName val="0"/>
          <c:showSerName val="0"/>
          <c:showPercent val="0"/>
          <c:showBubbleSize val="0"/>
        </c:dLbls>
        <c:gapWidth val="182"/>
        <c:axId val="2133165024"/>
        <c:axId val="2133165504"/>
      </c:barChart>
      <c:catAx>
        <c:axId val="213316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65504"/>
        <c:crosses val="autoZero"/>
        <c:auto val="1"/>
        <c:lblAlgn val="ctr"/>
        <c:lblOffset val="100"/>
        <c:noMultiLvlLbl val="0"/>
      </c:catAx>
      <c:valAx>
        <c:axId val="213316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Pivot_Tables!$B$30:$B$31</c:f>
              <c:strCache>
                <c:ptCount val="1"/>
                <c:pt idx="0">
                  <c:v>F</c:v>
                </c:pt>
              </c:strCache>
            </c:strRef>
          </c:tx>
          <c:spPr>
            <a:solidFill>
              <a:schemeClr val="accent1"/>
            </a:solidFill>
            <a:ln>
              <a:noFill/>
            </a:ln>
            <a:effectLst/>
          </c:spPr>
          <c:invertIfNegative val="0"/>
          <c:cat>
            <c:strRef>
              <c:f>Pivot_Tables!$A$32:$A$36</c:f>
              <c:strCache>
                <c:ptCount val="4"/>
                <c:pt idx="0">
                  <c:v>A</c:v>
                </c:pt>
                <c:pt idx="1">
                  <c:v>A+</c:v>
                </c:pt>
                <c:pt idx="2">
                  <c:v>B</c:v>
                </c:pt>
                <c:pt idx="3">
                  <c:v>B+</c:v>
                </c:pt>
              </c:strCache>
            </c:strRef>
          </c:cat>
          <c:val>
            <c:numRef>
              <c:f>Pivot_Tables!$B$32:$B$36</c:f>
              <c:numCache>
                <c:formatCode>General</c:formatCode>
                <c:ptCount val="4"/>
                <c:pt idx="0">
                  <c:v>14</c:v>
                </c:pt>
                <c:pt idx="1">
                  <c:v>5</c:v>
                </c:pt>
                <c:pt idx="2">
                  <c:v>7</c:v>
                </c:pt>
                <c:pt idx="3">
                  <c:v>13</c:v>
                </c:pt>
              </c:numCache>
            </c:numRef>
          </c:val>
          <c:extLst>
            <c:ext xmlns:c16="http://schemas.microsoft.com/office/drawing/2014/chart" uri="{C3380CC4-5D6E-409C-BE32-E72D297353CC}">
              <c16:uniqueId val="{00000000-6C9C-42C0-97B1-0A41C14176E1}"/>
            </c:ext>
          </c:extLst>
        </c:ser>
        <c:ser>
          <c:idx val="1"/>
          <c:order val="1"/>
          <c:tx>
            <c:strRef>
              <c:f>Pivot_Tables!$C$30:$C$31</c:f>
              <c:strCache>
                <c:ptCount val="1"/>
                <c:pt idx="0">
                  <c:v>M</c:v>
                </c:pt>
              </c:strCache>
            </c:strRef>
          </c:tx>
          <c:spPr>
            <a:solidFill>
              <a:schemeClr val="accent2"/>
            </a:solidFill>
            <a:ln>
              <a:noFill/>
            </a:ln>
            <a:effectLst/>
          </c:spPr>
          <c:invertIfNegative val="0"/>
          <c:cat>
            <c:strRef>
              <c:f>Pivot_Tables!$A$32:$A$36</c:f>
              <c:strCache>
                <c:ptCount val="4"/>
                <c:pt idx="0">
                  <c:v>A</c:v>
                </c:pt>
                <c:pt idx="1">
                  <c:v>A+</c:v>
                </c:pt>
                <c:pt idx="2">
                  <c:v>B</c:v>
                </c:pt>
                <c:pt idx="3">
                  <c:v>B+</c:v>
                </c:pt>
              </c:strCache>
            </c:strRef>
          </c:cat>
          <c:val>
            <c:numRef>
              <c:f>Pivot_Tables!$C$32:$C$36</c:f>
              <c:numCache>
                <c:formatCode>General</c:formatCode>
                <c:ptCount val="4"/>
                <c:pt idx="0">
                  <c:v>13</c:v>
                </c:pt>
                <c:pt idx="1">
                  <c:v>5</c:v>
                </c:pt>
                <c:pt idx="2">
                  <c:v>4</c:v>
                </c:pt>
                <c:pt idx="3">
                  <c:v>9</c:v>
                </c:pt>
              </c:numCache>
            </c:numRef>
          </c:val>
          <c:extLst>
            <c:ext xmlns:c16="http://schemas.microsoft.com/office/drawing/2014/chart" uri="{C3380CC4-5D6E-409C-BE32-E72D297353CC}">
              <c16:uniqueId val="{00000001-6C9C-42C0-97B1-0A41C14176E1}"/>
            </c:ext>
          </c:extLst>
        </c:ser>
        <c:dLbls>
          <c:showLegendKey val="0"/>
          <c:showVal val="0"/>
          <c:showCatName val="0"/>
          <c:showSerName val="0"/>
          <c:showPercent val="0"/>
          <c:showBubbleSize val="0"/>
        </c:dLbls>
        <c:gapWidth val="219"/>
        <c:overlap val="-27"/>
        <c:axId val="61189440"/>
        <c:axId val="61190400"/>
      </c:barChart>
      <c:catAx>
        <c:axId val="611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0400"/>
        <c:crosses val="autoZero"/>
        <c:auto val="1"/>
        <c:lblAlgn val="ctr"/>
        <c:lblOffset val="100"/>
        <c:noMultiLvlLbl val="0"/>
      </c:catAx>
      <c:valAx>
        <c:axId val="61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Pivot_Tables!$B$41:$B$42</c:f>
              <c:strCache>
                <c:ptCount val="1"/>
                <c:pt idx="0">
                  <c:v>Not Placed</c:v>
                </c:pt>
              </c:strCache>
            </c:strRef>
          </c:tx>
          <c:spPr>
            <a:ln w="28575" cap="rnd">
              <a:solidFill>
                <a:schemeClr val="accent1"/>
              </a:solidFill>
              <a:round/>
            </a:ln>
            <a:effectLst/>
          </c:spPr>
          <c:marker>
            <c:symbol val="none"/>
          </c:marker>
          <c:cat>
            <c:strRef>
              <c:f>Pivot_Tables!$A$43:$A$46</c:f>
              <c:strCache>
                <c:ptCount val="3"/>
                <c:pt idx="0">
                  <c:v>BBA</c:v>
                </c:pt>
                <c:pt idx="1">
                  <c:v>BCOM</c:v>
                </c:pt>
                <c:pt idx="2">
                  <c:v>MBA</c:v>
                </c:pt>
              </c:strCache>
            </c:strRef>
          </c:cat>
          <c:val>
            <c:numRef>
              <c:f>Pivot_Tables!$B$43:$B$46</c:f>
              <c:numCache>
                <c:formatCode>General</c:formatCode>
                <c:ptCount val="3"/>
                <c:pt idx="0">
                  <c:v>15</c:v>
                </c:pt>
                <c:pt idx="1">
                  <c:v>11</c:v>
                </c:pt>
                <c:pt idx="2">
                  <c:v>13</c:v>
                </c:pt>
              </c:numCache>
            </c:numRef>
          </c:val>
          <c:smooth val="0"/>
          <c:extLst>
            <c:ext xmlns:c16="http://schemas.microsoft.com/office/drawing/2014/chart" uri="{C3380CC4-5D6E-409C-BE32-E72D297353CC}">
              <c16:uniqueId val="{00000000-FDD3-444A-BD7A-9A60DBC77F22}"/>
            </c:ext>
          </c:extLst>
        </c:ser>
        <c:ser>
          <c:idx val="1"/>
          <c:order val="1"/>
          <c:tx>
            <c:strRef>
              <c:f>Pivot_Tables!$C$41:$C$42</c:f>
              <c:strCache>
                <c:ptCount val="1"/>
                <c:pt idx="0">
                  <c:v>Placed</c:v>
                </c:pt>
              </c:strCache>
            </c:strRef>
          </c:tx>
          <c:spPr>
            <a:ln w="28575" cap="rnd">
              <a:solidFill>
                <a:schemeClr val="accent2"/>
              </a:solidFill>
              <a:round/>
            </a:ln>
            <a:effectLst/>
          </c:spPr>
          <c:marker>
            <c:symbol val="none"/>
          </c:marker>
          <c:cat>
            <c:strRef>
              <c:f>Pivot_Tables!$A$43:$A$46</c:f>
              <c:strCache>
                <c:ptCount val="3"/>
                <c:pt idx="0">
                  <c:v>BBA</c:v>
                </c:pt>
                <c:pt idx="1">
                  <c:v>BCOM</c:v>
                </c:pt>
                <c:pt idx="2">
                  <c:v>MBA</c:v>
                </c:pt>
              </c:strCache>
            </c:strRef>
          </c:cat>
          <c:val>
            <c:numRef>
              <c:f>Pivot_Tables!$C$43:$C$46</c:f>
              <c:numCache>
                <c:formatCode>General</c:formatCode>
                <c:ptCount val="3"/>
                <c:pt idx="0">
                  <c:v>8</c:v>
                </c:pt>
                <c:pt idx="1">
                  <c:v>15</c:v>
                </c:pt>
                <c:pt idx="2">
                  <c:v>8</c:v>
                </c:pt>
              </c:numCache>
            </c:numRef>
          </c:val>
          <c:smooth val="0"/>
          <c:extLst>
            <c:ext xmlns:c16="http://schemas.microsoft.com/office/drawing/2014/chart" uri="{C3380CC4-5D6E-409C-BE32-E72D297353CC}">
              <c16:uniqueId val="{00000001-FDD3-444A-BD7A-9A60DBC77F22}"/>
            </c:ext>
          </c:extLst>
        </c:ser>
        <c:dLbls>
          <c:showLegendKey val="0"/>
          <c:showVal val="0"/>
          <c:showCatName val="0"/>
          <c:showSerName val="0"/>
          <c:showPercent val="0"/>
          <c:showBubbleSize val="0"/>
        </c:dLbls>
        <c:smooth val="0"/>
        <c:axId val="61114720"/>
        <c:axId val="61115200"/>
      </c:lineChart>
      <c:catAx>
        <c:axId val="611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5200"/>
        <c:crosses val="autoZero"/>
        <c:auto val="1"/>
        <c:lblAlgn val="ctr"/>
        <c:lblOffset val="100"/>
        <c:noMultiLvlLbl val="0"/>
      </c:catAx>
      <c:valAx>
        <c:axId val="6111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72-4A43-8ADE-BE5A03D019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72-4A43-8ADE-BE5A03D019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72-4A43-8ADE-BE5A03D019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72-4A43-8ADE-BE5A03D019E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72-4A43-8ADE-BE5A03D019E6}"/>
              </c:ext>
            </c:extLst>
          </c:dPt>
          <c:cat>
            <c:strRef>
              <c:f>Pivot_Tables!$A$53:$A$58</c:f>
              <c:strCache>
                <c:ptCount val="5"/>
                <c:pt idx="0">
                  <c:v>Mr. Iyer</c:v>
                </c:pt>
                <c:pt idx="1">
                  <c:v>Mr. Nair</c:v>
                </c:pt>
                <c:pt idx="2">
                  <c:v>Mr. Sharma</c:v>
                </c:pt>
                <c:pt idx="3">
                  <c:v>Mrs. Verma</c:v>
                </c:pt>
                <c:pt idx="4">
                  <c:v>Ms. Patel</c:v>
                </c:pt>
              </c:strCache>
            </c:strRef>
          </c:cat>
          <c:val>
            <c:numRef>
              <c:f>Pivot_Tables!$B$53:$B$58</c:f>
              <c:numCache>
                <c:formatCode>General</c:formatCode>
                <c:ptCount val="5"/>
                <c:pt idx="0">
                  <c:v>8.1764705882352935</c:v>
                </c:pt>
                <c:pt idx="1">
                  <c:v>8.6999999999999993</c:v>
                </c:pt>
                <c:pt idx="2">
                  <c:v>7.4285714285714288</c:v>
                </c:pt>
                <c:pt idx="3">
                  <c:v>8.3000000000000007</c:v>
                </c:pt>
                <c:pt idx="4">
                  <c:v>7.8947368421052628</c:v>
                </c:pt>
              </c:numCache>
            </c:numRef>
          </c:val>
          <c:extLst>
            <c:ext xmlns:c16="http://schemas.microsoft.com/office/drawing/2014/chart" uri="{C3380CC4-5D6E-409C-BE32-E72D297353CC}">
              <c16:uniqueId val="{00000000-5ED9-4B4D-8B43-8F195923628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Pivot_Tables!$B$15</c:f>
              <c:strCache>
                <c:ptCount val="1"/>
                <c:pt idx="0">
                  <c:v>Average of Total Marks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B3-4179-B95A-3BE592A9C1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B3-4179-B95A-3BE592A9C1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B3-4179-B95A-3BE592A9C1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B3-4179-B95A-3BE592A9C1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B3-4179-B95A-3BE592A9C1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EB3-4179-B95A-3BE592A9C1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EB3-4179-B95A-3BE592A9C1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EB3-4179-B95A-3BE592A9C1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EB3-4179-B95A-3BE592A9C1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EB3-4179-B95A-3BE592A9C1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EB3-4179-B95A-3BE592A9C177}"/>
              </c:ext>
            </c:extLst>
          </c:dPt>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Pivot_Tables!$B$16:$B$27</c:f>
              <c:numCache>
                <c:formatCode>0.0</c:formatCode>
                <c:ptCount val="11"/>
                <c:pt idx="0">
                  <c:v>81.461538461538467</c:v>
                </c:pt>
                <c:pt idx="1">
                  <c:v>78.599999999999994</c:v>
                </c:pt>
                <c:pt idx="2">
                  <c:v>73.333333333333329</c:v>
                </c:pt>
                <c:pt idx="3">
                  <c:v>79.599999999999994</c:v>
                </c:pt>
                <c:pt idx="4">
                  <c:v>80.5</c:v>
                </c:pt>
                <c:pt idx="5">
                  <c:v>77.428571428571431</c:v>
                </c:pt>
                <c:pt idx="6">
                  <c:v>76.8</c:v>
                </c:pt>
                <c:pt idx="7">
                  <c:v>80.5</c:v>
                </c:pt>
                <c:pt idx="8">
                  <c:v>83</c:v>
                </c:pt>
                <c:pt idx="9">
                  <c:v>81.428571428571431</c:v>
                </c:pt>
                <c:pt idx="10">
                  <c:v>79.625</c:v>
                </c:pt>
              </c:numCache>
            </c:numRef>
          </c:val>
          <c:extLst>
            <c:ext xmlns:c16="http://schemas.microsoft.com/office/drawing/2014/chart" uri="{C3380CC4-5D6E-409C-BE32-E72D297353CC}">
              <c16:uniqueId val="{00000000-EA7B-48CF-91C0-1227A8816CCB}"/>
            </c:ext>
          </c:extLst>
        </c:ser>
        <c:ser>
          <c:idx val="1"/>
          <c:order val="1"/>
          <c:tx>
            <c:strRef>
              <c:f>Pivot_Tables!$C$15</c:f>
              <c:strCache>
                <c:ptCount val="1"/>
                <c:pt idx="0">
                  <c:v>Average of Attendance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0EB3-4179-B95A-3BE592A9C1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0EB3-4179-B95A-3BE592A9C1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0EB3-4179-B95A-3BE592A9C1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0EB3-4179-B95A-3BE592A9C17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0EB3-4179-B95A-3BE592A9C17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1-0EB3-4179-B95A-3BE592A9C17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0EB3-4179-B95A-3BE592A9C17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0EB3-4179-B95A-3BE592A9C17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0EB3-4179-B95A-3BE592A9C17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0EB3-4179-B95A-3BE592A9C17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0EB3-4179-B95A-3BE592A9C177}"/>
              </c:ext>
            </c:extLst>
          </c:dPt>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Pivot_Tables!$C$16:$C$27</c:f>
              <c:numCache>
                <c:formatCode>0.0</c:formatCode>
                <c:ptCount val="11"/>
                <c:pt idx="0">
                  <c:v>80.307692307692307</c:v>
                </c:pt>
                <c:pt idx="1">
                  <c:v>82.2</c:v>
                </c:pt>
                <c:pt idx="2">
                  <c:v>91.666666666666671</c:v>
                </c:pt>
                <c:pt idx="3">
                  <c:v>83.6</c:v>
                </c:pt>
                <c:pt idx="4">
                  <c:v>82.5</c:v>
                </c:pt>
                <c:pt idx="5">
                  <c:v>87</c:v>
                </c:pt>
                <c:pt idx="6">
                  <c:v>78</c:v>
                </c:pt>
                <c:pt idx="7">
                  <c:v>83</c:v>
                </c:pt>
                <c:pt idx="8">
                  <c:v>85</c:v>
                </c:pt>
                <c:pt idx="9">
                  <c:v>86.142857142857139</c:v>
                </c:pt>
                <c:pt idx="10">
                  <c:v>89</c:v>
                </c:pt>
              </c:numCache>
            </c:numRef>
          </c:val>
          <c:extLst>
            <c:ext xmlns:c16="http://schemas.microsoft.com/office/drawing/2014/chart" uri="{C3380CC4-5D6E-409C-BE32-E72D297353CC}">
              <c16:uniqueId val="{00000003-EA7B-48CF-91C0-1227A8816C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rPr>
              <a:t>Department-wise Average Marks </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Pivot_Tables!$A$4:$A$7</c:f>
              <c:strCache>
                <c:ptCount val="3"/>
                <c:pt idx="0">
                  <c:v>BBA</c:v>
                </c:pt>
                <c:pt idx="1">
                  <c:v>BCOM</c:v>
                </c:pt>
                <c:pt idx="2">
                  <c:v>MBA</c:v>
                </c:pt>
              </c:strCache>
            </c:strRef>
          </c:cat>
          <c:val>
            <c:numRef>
              <c:f>Pivot_Tables!$B$4:$B$7</c:f>
              <c:numCache>
                <c:formatCode>General</c:formatCode>
                <c:ptCount val="3"/>
                <c:pt idx="0">
                  <c:v>79.913043478260875</c:v>
                </c:pt>
                <c:pt idx="1">
                  <c:v>78.34615384615384</c:v>
                </c:pt>
                <c:pt idx="2">
                  <c:v>81.285714285714292</c:v>
                </c:pt>
              </c:numCache>
            </c:numRef>
          </c:val>
          <c:extLst>
            <c:ext xmlns:c16="http://schemas.microsoft.com/office/drawing/2014/chart" uri="{C3380CC4-5D6E-409C-BE32-E72D297353CC}">
              <c16:uniqueId val="{00000000-B3B7-440B-98D4-288DF27E4762}"/>
            </c:ext>
          </c:extLst>
        </c:ser>
        <c:dLbls>
          <c:showLegendKey val="0"/>
          <c:showVal val="0"/>
          <c:showCatName val="0"/>
          <c:showSerName val="0"/>
          <c:showPercent val="0"/>
          <c:showBubbleSize val="0"/>
        </c:dLbls>
        <c:gapWidth val="100"/>
        <c:overlap val="-24"/>
        <c:axId val="2133165024"/>
        <c:axId val="2133165504"/>
      </c:barChart>
      <c:catAx>
        <c:axId val="2133165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165504"/>
        <c:crosses val="autoZero"/>
        <c:auto val="1"/>
        <c:lblAlgn val="ctr"/>
        <c:lblOffset val="100"/>
        <c:noMultiLvlLbl val="0"/>
      </c:catAx>
      <c:valAx>
        <c:axId val="213316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316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1"/>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3"/>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7"/>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8"/>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9"/>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9785222775349226"/>
          <c:y val="0.20455234762321375"/>
          <c:w val="0.44381317484176125"/>
          <c:h val="0.34411162146398366"/>
        </c:manualLayout>
      </c:layout>
      <c:barChart>
        <c:barDir val="bar"/>
        <c:grouping val="clustered"/>
        <c:varyColors val="0"/>
        <c:ser>
          <c:idx val="0"/>
          <c:order val="0"/>
          <c:tx>
            <c:strRef>
              <c:f>Pivot_Tables!$B$15</c:f>
              <c:strCache>
                <c:ptCount val="1"/>
                <c:pt idx="0">
                  <c:v>Average of Total Marks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Pivot_Tables!$B$16:$B$27</c:f>
              <c:numCache>
                <c:formatCode>0.0</c:formatCode>
                <c:ptCount val="11"/>
                <c:pt idx="0">
                  <c:v>81.461538461538467</c:v>
                </c:pt>
                <c:pt idx="1">
                  <c:v>78.599999999999994</c:v>
                </c:pt>
                <c:pt idx="2">
                  <c:v>73.333333333333329</c:v>
                </c:pt>
                <c:pt idx="3">
                  <c:v>79.599999999999994</c:v>
                </c:pt>
                <c:pt idx="4">
                  <c:v>80.5</c:v>
                </c:pt>
                <c:pt idx="5">
                  <c:v>77.428571428571431</c:v>
                </c:pt>
                <c:pt idx="6">
                  <c:v>76.8</c:v>
                </c:pt>
                <c:pt idx="7">
                  <c:v>80.5</c:v>
                </c:pt>
                <c:pt idx="8">
                  <c:v>83</c:v>
                </c:pt>
                <c:pt idx="9">
                  <c:v>81.428571428571431</c:v>
                </c:pt>
                <c:pt idx="10">
                  <c:v>79.625</c:v>
                </c:pt>
              </c:numCache>
            </c:numRef>
          </c:val>
          <c:extLst>
            <c:ext xmlns:c16="http://schemas.microsoft.com/office/drawing/2014/chart" uri="{C3380CC4-5D6E-409C-BE32-E72D297353CC}">
              <c16:uniqueId val="{00000016-6005-44CA-B662-F04FD07319E6}"/>
            </c:ext>
          </c:extLst>
        </c:ser>
        <c:dLbls>
          <c:showLegendKey val="0"/>
          <c:showVal val="0"/>
          <c:showCatName val="0"/>
          <c:showSerName val="0"/>
          <c:showPercent val="0"/>
          <c:showBubbleSize val="0"/>
        </c:dLbls>
        <c:gapWidth val="100"/>
        <c:axId val="98805296"/>
        <c:axId val="98807216"/>
      </c:barChart>
      <c:lineChart>
        <c:grouping val="standard"/>
        <c:varyColors val="0"/>
        <c:ser>
          <c:idx val="1"/>
          <c:order val="1"/>
          <c:tx>
            <c:strRef>
              <c:f>Pivot_Tables!$C$15</c:f>
              <c:strCache>
                <c:ptCount val="1"/>
                <c:pt idx="0">
                  <c:v>Average of Attendance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Pivot_Tables!$A$16:$A$27</c:f>
              <c:strCache>
                <c:ptCount val="11"/>
                <c:pt idx="0">
                  <c:v>Finance</c:v>
                </c:pt>
                <c:pt idx="1">
                  <c:v>HR</c:v>
                </c:pt>
                <c:pt idx="2">
                  <c:v>Accounting</c:v>
                </c:pt>
                <c:pt idx="3">
                  <c:v>Banking</c:v>
                </c:pt>
                <c:pt idx="4">
                  <c:v>Business Analytics</c:v>
                </c:pt>
                <c:pt idx="5">
                  <c:v>Digital Marketing</c:v>
                </c:pt>
                <c:pt idx="6">
                  <c:v>Economics</c:v>
                </c:pt>
                <c:pt idx="7">
                  <c:v>Entrepreneurship</c:v>
                </c:pt>
                <c:pt idx="8">
                  <c:v>Marketing</c:v>
                </c:pt>
                <c:pt idx="9">
                  <c:v>Operations</c:v>
                </c:pt>
                <c:pt idx="10">
                  <c:v>Taxation</c:v>
                </c:pt>
              </c:strCache>
            </c:strRef>
          </c:cat>
          <c:val>
            <c:numRef>
              <c:f>Pivot_Tables!$C$16:$C$27</c:f>
              <c:numCache>
                <c:formatCode>0.0</c:formatCode>
                <c:ptCount val="11"/>
                <c:pt idx="0">
                  <c:v>80.307692307692307</c:v>
                </c:pt>
                <c:pt idx="1">
                  <c:v>82.2</c:v>
                </c:pt>
                <c:pt idx="2">
                  <c:v>91.666666666666671</c:v>
                </c:pt>
                <c:pt idx="3">
                  <c:v>83.6</c:v>
                </c:pt>
                <c:pt idx="4">
                  <c:v>82.5</c:v>
                </c:pt>
                <c:pt idx="5">
                  <c:v>87</c:v>
                </c:pt>
                <c:pt idx="6">
                  <c:v>78</c:v>
                </c:pt>
                <c:pt idx="7">
                  <c:v>83</c:v>
                </c:pt>
                <c:pt idx="8">
                  <c:v>85</c:v>
                </c:pt>
                <c:pt idx="9">
                  <c:v>86.142857142857139</c:v>
                </c:pt>
                <c:pt idx="10">
                  <c:v>89</c:v>
                </c:pt>
              </c:numCache>
            </c:numRef>
          </c:val>
          <c:smooth val="0"/>
          <c:extLst>
            <c:ext xmlns:c16="http://schemas.microsoft.com/office/drawing/2014/chart" uri="{C3380CC4-5D6E-409C-BE32-E72D297353CC}">
              <c16:uniqueId val="{0000002D-6005-44CA-B662-F04FD07319E6}"/>
            </c:ext>
          </c:extLst>
        </c:ser>
        <c:dLbls>
          <c:showLegendKey val="0"/>
          <c:showVal val="0"/>
          <c:showCatName val="0"/>
          <c:showSerName val="0"/>
          <c:showPercent val="0"/>
          <c:showBubbleSize val="0"/>
        </c:dLbls>
        <c:marker val="1"/>
        <c:smooth val="0"/>
        <c:axId val="98803856"/>
        <c:axId val="98804816"/>
      </c:lineChart>
      <c:catAx>
        <c:axId val="988038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Course</a:t>
                </a:r>
                <a:r>
                  <a:rPr lang="en-IN" baseline="0"/>
                  <a:t> name</a:t>
                </a:r>
                <a:endParaRPr lang="en-IN"/>
              </a:p>
            </c:rich>
          </c:tx>
          <c:layout>
            <c:manualLayout>
              <c:xMode val="edge"/>
              <c:yMode val="edge"/>
              <c:x val="0.3378702005506754"/>
              <c:y val="0.907476669582968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4816"/>
        <c:crosses val="autoZero"/>
        <c:auto val="1"/>
        <c:lblAlgn val="ctr"/>
        <c:lblOffset val="100"/>
        <c:noMultiLvlLbl val="0"/>
      </c:catAx>
      <c:valAx>
        <c:axId val="988048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small" baseline="0">
                    <a:solidFill>
                      <a:schemeClr val="lt1">
                        <a:lumMod val="85000"/>
                      </a:schemeClr>
                    </a:solidFill>
                    <a:latin typeface="+mn-lt"/>
                    <a:ea typeface="+mn-ea"/>
                    <a:cs typeface="+mn-cs"/>
                  </a:defRPr>
                </a:pPr>
                <a:r>
                  <a:rPr lang="en-IN" cap="small" baseline="0"/>
                  <a:t>AVG OF Attendance %</a:t>
                </a:r>
              </a:p>
            </c:rich>
          </c:tx>
          <c:layout>
            <c:manualLayout>
              <c:xMode val="edge"/>
              <c:yMode val="edge"/>
              <c:x val="6.1295971978984239E-2"/>
              <c:y val="0.1999227179935841"/>
            </c:manualLayout>
          </c:layout>
          <c:overlay val="0"/>
          <c:spPr>
            <a:noFill/>
            <a:ln>
              <a:noFill/>
            </a:ln>
            <a:effectLst/>
          </c:spPr>
          <c:txPr>
            <a:bodyPr rot="-5400000" spcFirstLastPara="1" vertOverflow="ellipsis" vert="horz" wrap="square" anchor="ctr" anchorCtr="1"/>
            <a:lstStyle/>
            <a:p>
              <a:pPr>
                <a:defRPr sz="900" b="1" i="0" u="none" strike="noStrike" kern="1200" cap="sm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3856"/>
        <c:crosses val="autoZero"/>
        <c:crossBetween val="between"/>
      </c:valAx>
      <c:valAx>
        <c:axId val="98807216"/>
        <c:scaling>
          <c:orientation val="minMax"/>
        </c:scaling>
        <c:delete val="0"/>
        <c:axPos val="t"/>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OF TOTAL MARKS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05296"/>
        <c:crosses val="max"/>
        <c:crossBetween val="between"/>
      </c:valAx>
      <c:catAx>
        <c:axId val="98805296"/>
        <c:scaling>
          <c:orientation val="minMax"/>
        </c:scaling>
        <c:delete val="1"/>
        <c:axPos val="l"/>
        <c:numFmt formatCode="General" sourceLinked="1"/>
        <c:majorTickMark val="none"/>
        <c:minorTickMark val="none"/>
        <c:tickLblPos val="nextTo"/>
        <c:crossAx val="98807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Gender wise Grade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Pivot_Tables!$B$30:$B$31</c:f>
              <c:strCache>
                <c:ptCount val="1"/>
                <c:pt idx="0">
                  <c:v>F</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Pivot_Tables!$A$32:$A$36</c:f>
              <c:strCache>
                <c:ptCount val="4"/>
                <c:pt idx="0">
                  <c:v>A</c:v>
                </c:pt>
                <c:pt idx="1">
                  <c:v>A+</c:v>
                </c:pt>
                <c:pt idx="2">
                  <c:v>B</c:v>
                </c:pt>
                <c:pt idx="3">
                  <c:v>B+</c:v>
                </c:pt>
              </c:strCache>
            </c:strRef>
          </c:cat>
          <c:val>
            <c:numRef>
              <c:f>Pivot_Tables!$B$32:$B$36</c:f>
              <c:numCache>
                <c:formatCode>General</c:formatCode>
                <c:ptCount val="4"/>
                <c:pt idx="0">
                  <c:v>14</c:v>
                </c:pt>
                <c:pt idx="1">
                  <c:v>5</c:v>
                </c:pt>
                <c:pt idx="2">
                  <c:v>7</c:v>
                </c:pt>
                <c:pt idx="3">
                  <c:v>13</c:v>
                </c:pt>
              </c:numCache>
            </c:numRef>
          </c:val>
          <c:extLst>
            <c:ext xmlns:c16="http://schemas.microsoft.com/office/drawing/2014/chart" uri="{C3380CC4-5D6E-409C-BE32-E72D297353CC}">
              <c16:uniqueId val="{00000000-4653-4830-9C37-C9D137C50978}"/>
            </c:ext>
          </c:extLst>
        </c:ser>
        <c:ser>
          <c:idx val="1"/>
          <c:order val="1"/>
          <c:tx>
            <c:strRef>
              <c:f>Pivot_Tables!$C$30:$C$31</c:f>
              <c:strCache>
                <c:ptCount val="1"/>
                <c:pt idx="0">
                  <c:v>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Pivot_Tables!$A$32:$A$36</c:f>
              <c:strCache>
                <c:ptCount val="4"/>
                <c:pt idx="0">
                  <c:v>A</c:v>
                </c:pt>
                <c:pt idx="1">
                  <c:v>A+</c:v>
                </c:pt>
                <c:pt idx="2">
                  <c:v>B</c:v>
                </c:pt>
                <c:pt idx="3">
                  <c:v>B+</c:v>
                </c:pt>
              </c:strCache>
            </c:strRef>
          </c:cat>
          <c:val>
            <c:numRef>
              <c:f>Pivot_Tables!$C$32:$C$36</c:f>
              <c:numCache>
                <c:formatCode>General</c:formatCode>
                <c:ptCount val="4"/>
                <c:pt idx="0">
                  <c:v>13</c:v>
                </c:pt>
                <c:pt idx="1">
                  <c:v>5</c:v>
                </c:pt>
                <c:pt idx="2">
                  <c:v>4</c:v>
                </c:pt>
                <c:pt idx="3">
                  <c:v>9</c:v>
                </c:pt>
              </c:numCache>
            </c:numRef>
          </c:val>
          <c:extLst>
            <c:ext xmlns:c16="http://schemas.microsoft.com/office/drawing/2014/chart" uri="{C3380CC4-5D6E-409C-BE32-E72D297353CC}">
              <c16:uniqueId val="{00000001-4653-4830-9C37-C9D137C50978}"/>
            </c:ext>
          </c:extLst>
        </c:ser>
        <c:dLbls>
          <c:showLegendKey val="0"/>
          <c:showVal val="0"/>
          <c:showCatName val="0"/>
          <c:showSerName val="0"/>
          <c:showPercent val="0"/>
          <c:showBubbleSize val="0"/>
        </c:dLbls>
        <c:gapWidth val="150"/>
        <c:overlap val="100"/>
        <c:axId val="61189440"/>
        <c:axId val="61190400"/>
      </c:barChart>
      <c:catAx>
        <c:axId val="61189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90400"/>
        <c:crosses val="autoZero"/>
        <c:auto val="1"/>
        <c:lblAlgn val="ctr"/>
        <c:lblOffset val="100"/>
        <c:noMultiLvlLbl val="0"/>
      </c:catAx>
      <c:valAx>
        <c:axId val="61190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Department wise Placement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Pivot_Tables!$B$41:$B$42</c:f>
              <c:strCache>
                <c:ptCount val="1"/>
                <c:pt idx="0">
                  <c:v>Not Placed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Pivot_Tables!$A$43:$A$46</c:f>
              <c:strCache>
                <c:ptCount val="3"/>
                <c:pt idx="0">
                  <c:v>BBA</c:v>
                </c:pt>
                <c:pt idx="1">
                  <c:v>BCOM</c:v>
                </c:pt>
                <c:pt idx="2">
                  <c:v>MBA</c:v>
                </c:pt>
              </c:strCache>
            </c:strRef>
          </c:cat>
          <c:val>
            <c:numRef>
              <c:f>Pivot_Tables!$B$43:$B$46</c:f>
              <c:numCache>
                <c:formatCode>General</c:formatCode>
                <c:ptCount val="3"/>
                <c:pt idx="0">
                  <c:v>15</c:v>
                </c:pt>
                <c:pt idx="1">
                  <c:v>11</c:v>
                </c:pt>
                <c:pt idx="2">
                  <c:v>13</c:v>
                </c:pt>
              </c:numCache>
            </c:numRef>
          </c:val>
          <c:extLst>
            <c:ext xmlns:c16="http://schemas.microsoft.com/office/drawing/2014/chart" uri="{C3380CC4-5D6E-409C-BE32-E72D297353CC}">
              <c16:uniqueId val="{00000000-5475-4829-BE5C-91AFA599708A}"/>
            </c:ext>
          </c:extLst>
        </c:ser>
        <c:ser>
          <c:idx val="1"/>
          <c:order val="1"/>
          <c:tx>
            <c:strRef>
              <c:f>Pivot_Tables!$C$41:$C$42</c:f>
              <c:strCache>
                <c:ptCount val="1"/>
                <c:pt idx="0">
                  <c:v>Placed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Pivot_Tables!$A$43:$A$46</c:f>
              <c:strCache>
                <c:ptCount val="3"/>
                <c:pt idx="0">
                  <c:v>BBA</c:v>
                </c:pt>
                <c:pt idx="1">
                  <c:v>BCOM</c:v>
                </c:pt>
                <c:pt idx="2">
                  <c:v>MBA</c:v>
                </c:pt>
              </c:strCache>
            </c:strRef>
          </c:cat>
          <c:val>
            <c:numRef>
              <c:f>Pivot_Tables!$C$43:$C$46</c:f>
              <c:numCache>
                <c:formatCode>General</c:formatCode>
                <c:ptCount val="3"/>
                <c:pt idx="0">
                  <c:v>8</c:v>
                </c:pt>
                <c:pt idx="1">
                  <c:v>15</c:v>
                </c:pt>
                <c:pt idx="2">
                  <c:v>8</c:v>
                </c:pt>
              </c:numCache>
            </c:numRef>
          </c:val>
          <c:extLst>
            <c:ext xmlns:c16="http://schemas.microsoft.com/office/drawing/2014/chart" uri="{C3380CC4-5D6E-409C-BE32-E72D297353CC}">
              <c16:uniqueId val="{00000001-5475-4829-BE5C-91AFA599708A}"/>
            </c:ext>
          </c:extLst>
        </c:ser>
        <c:dLbls>
          <c:showLegendKey val="0"/>
          <c:showVal val="0"/>
          <c:showCatName val="0"/>
          <c:showSerName val="0"/>
          <c:showPercent val="0"/>
          <c:showBubbleSize val="0"/>
        </c:dLbls>
        <c:gapWidth val="150"/>
        <c:overlap val="100"/>
        <c:axId val="61114720"/>
        <c:axId val="61115200"/>
      </c:barChart>
      <c:catAx>
        <c:axId val="6111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5200"/>
        <c:crosses val="autoZero"/>
        <c:auto val="1"/>
        <c:lblAlgn val="ctr"/>
        <c:lblOffset val="100"/>
        <c:noMultiLvlLbl val="0"/>
      </c:catAx>
      <c:valAx>
        <c:axId val="611152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Student_Performance_Dataset_2024_2025.xlsx]Pivot_Tables!PivotTable5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Average of Internship Score</a:t>
            </a:r>
          </a:p>
        </c:rich>
      </c:tx>
      <c:layout>
        <c:manualLayout>
          <c:xMode val="edge"/>
          <c:yMode val="edge"/>
          <c:x val="0.25407972440944881"/>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Pivot_Tables!$B$52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B35-484A-B517-8C67AAA9353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B35-484A-B517-8C67AAA9353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B35-484A-B517-8C67AAA9353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B35-484A-B517-8C67AAA9353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B35-484A-B517-8C67AAA93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Pivot_Tables!$A$53:$A$58</c:f>
              <c:strCache>
                <c:ptCount val="5"/>
                <c:pt idx="0">
                  <c:v>Mr. Iyer</c:v>
                </c:pt>
                <c:pt idx="1">
                  <c:v>Mr. Nair</c:v>
                </c:pt>
                <c:pt idx="2">
                  <c:v>Mr. Sharma</c:v>
                </c:pt>
                <c:pt idx="3">
                  <c:v>Mrs. Verma</c:v>
                </c:pt>
                <c:pt idx="4">
                  <c:v>Ms. Patel</c:v>
                </c:pt>
              </c:strCache>
            </c:strRef>
          </c:cat>
          <c:val>
            <c:numRef>
              <c:f>Pivot_Tables!$B$53:$B$58</c:f>
              <c:numCache>
                <c:formatCode>General</c:formatCode>
                <c:ptCount val="5"/>
                <c:pt idx="0">
                  <c:v>8.1764705882352935</c:v>
                </c:pt>
                <c:pt idx="1">
                  <c:v>8.6999999999999993</c:v>
                </c:pt>
                <c:pt idx="2">
                  <c:v>7.4285714285714288</c:v>
                </c:pt>
                <c:pt idx="3">
                  <c:v>8.3000000000000007</c:v>
                </c:pt>
                <c:pt idx="4">
                  <c:v>7.8947368421052628</c:v>
                </c:pt>
              </c:numCache>
            </c:numRef>
          </c:val>
          <c:extLst>
            <c:ext xmlns:c16="http://schemas.microsoft.com/office/drawing/2014/chart" uri="{C3380CC4-5D6E-409C-BE32-E72D297353CC}">
              <c16:uniqueId val="{0000000A-4B35-484A-B517-8C67AAA9353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198120</xdr:colOff>
      <xdr:row>1</xdr:row>
      <xdr:rowOff>121920</xdr:rowOff>
    </xdr:from>
    <xdr:to>
      <xdr:col>9</xdr:col>
      <xdr:colOff>198120</xdr:colOff>
      <xdr:row>11</xdr:row>
      <xdr:rowOff>121920</xdr:rowOff>
    </xdr:to>
    <xdr:graphicFrame macro="">
      <xdr:nvGraphicFramePr>
        <xdr:cNvPr id="2" name="Chart 1">
          <a:extLst>
            <a:ext uri="{FF2B5EF4-FFF2-40B4-BE49-F238E27FC236}">
              <a16:creationId xmlns:a16="http://schemas.microsoft.com/office/drawing/2014/main" id="{936E7B4B-1AF6-8F24-3477-675B0157F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29</xdr:row>
      <xdr:rowOff>7620</xdr:rowOff>
    </xdr:from>
    <xdr:to>
      <xdr:col>11</xdr:col>
      <xdr:colOff>472440</xdr:colOff>
      <xdr:row>39</xdr:row>
      <xdr:rowOff>7620</xdr:rowOff>
    </xdr:to>
    <xdr:graphicFrame macro="">
      <xdr:nvGraphicFramePr>
        <xdr:cNvPr id="3" name="Chart 2">
          <a:extLst>
            <a:ext uri="{FF2B5EF4-FFF2-40B4-BE49-F238E27FC236}">
              <a16:creationId xmlns:a16="http://schemas.microsoft.com/office/drawing/2014/main" id="{CCF8A0A7-CAE5-1290-82AB-00A59E722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40</xdr:row>
      <xdr:rowOff>60960</xdr:rowOff>
    </xdr:from>
    <xdr:to>
      <xdr:col>11</xdr:col>
      <xdr:colOff>381000</xdr:colOff>
      <xdr:row>50</xdr:row>
      <xdr:rowOff>60960</xdr:rowOff>
    </xdr:to>
    <xdr:graphicFrame macro="">
      <xdr:nvGraphicFramePr>
        <xdr:cNvPr id="4" name="Chart 3">
          <a:extLst>
            <a:ext uri="{FF2B5EF4-FFF2-40B4-BE49-F238E27FC236}">
              <a16:creationId xmlns:a16="http://schemas.microsoft.com/office/drawing/2014/main" id="{848A123E-0FD5-48AB-CC54-BD6C8195E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266700</xdr:colOff>
      <xdr:row>51</xdr:row>
      <xdr:rowOff>30480</xdr:rowOff>
    </xdr:from>
    <xdr:to>
      <xdr:col>11</xdr:col>
      <xdr:colOff>266700</xdr:colOff>
      <xdr:row>61</xdr:row>
      <xdr:rowOff>30480</xdr:rowOff>
    </xdr:to>
    <xdr:graphicFrame macro="">
      <xdr:nvGraphicFramePr>
        <xdr:cNvPr id="5" name="Chart 4">
          <a:extLst>
            <a:ext uri="{FF2B5EF4-FFF2-40B4-BE49-F238E27FC236}">
              <a16:creationId xmlns:a16="http://schemas.microsoft.com/office/drawing/2014/main" id="{BDA98166-A6EF-C507-3512-DDC44B9E5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240030</xdr:colOff>
      <xdr:row>13</xdr:row>
      <xdr:rowOff>53340</xdr:rowOff>
    </xdr:from>
    <xdr:to>
      <xdr:col>10</xdr:col>
      <xdr:colOff>194310</xdr:colOff>
      <xdr:row>28</xdr:row>
      <xdr:rowOff>53340</xdr:rowOff>
    </xdr:to>
    <xdr:graphicFrame macro="">
      <xdr:nvGraphicFramePr>
        <xdr:cNvPr id="6" name="Chart 5">
          <a:extLst>
            <a:ext uri="{FF2B5EF4-FFF2-40B4-BE49-F238E27FC236}">
              <a16:creationId xmlns:a16="http://schemas.microsoft.com/office/drawing/2014/main" id="{C9703CA9-1897-B4A0-CA8A-5B604AFAD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10</xdr:row>
      <xdr:rowOff>19050</xdr:rowOff>
    </xdr:from>
    <xdr:to>
      <xdr:col>8</xdr:col>
      <xdr:colOff>224790</xdr:colOff>
      <xdr:row>20</xdr:row>
      <xdr:rowOff>19050</xdr:rowOff>
    </xdr:to>
    <xdr:graphicFrame macro="">
      <xdr:nvGraphicFramePr>
        <xdr:cNvPr id="6" name="Chart 5">
          <a:extLst>
            <a:ext uri="{FF2B5EF4-FFF2-40B4-BE49-F238E27FC236}">
              <a16:creationId xmlns:a16="http://schemas.microsoft.com/office/drawing/2014/main" id="{1CD23CE7-C8E0-4501-99BC-89EAB6BD1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548567</xdr:colOff>
      <xdr:row>23</xdr:row>
      <xdr:rowOff>155731</xdr:rowOff>
    </xdr:from>
    <xdr:to>
      <xdr:col>8</xdr:col>
      <xdr:colOff>297170</xdr:colOff>
      <xdr:row>39</xdr:row>
      <xdr:rowOff>30225</xdr:rowOff>
    </xdr:to>
    <xdr:graphicFrame macro="">
      <xdr:nvGraphicFramePr>
        <xdr:cNvPr id="7" name="Chart 6">
          <a:extLst>
            <a:ext uri="{FF2B5EF4-FFF2-40B4-BE49-F238E27FC236}">
              <a16:creationId xmlns:a16="http://schemas.microsoft.com/office/drawing/2014/main" id="{01486323-03E5-43BA-854F-A7979237F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564777</xdr:colOff>
      <xdr:row>9</xdr:row>
      <xdr:rowOff>170329</xdr:rowOff>
    </xdr:from>
    <xdr:to>
      <xdr:col>23</xdr:col>
      <xdr:colOff>564777</xdr:colOff>
      <xdr:row>19</xdr:row>
      <xdr:rowOff>170329</xdr:rowOff>
    </xdr:to>
    <xdr:graphicFrame macro="">
      <xdr:nvGraphicFramePr>
        <xdr:cNvPr id="8" name="Chart 7">
          <a:extLst>
            <a:ext uri="{FF2B5EF4-FFF2-40B4-BE49-F238E27FC236}">
              <a16:creationId xmlns:a16="http://schemas.microsoft.com/office/drawing/2014/main" id="{AE249572-3769-4784-ABA1-99C12DC22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544197</xdr:colOff>
      <xdr:row>23</xdr:row>
      <xdr:rowOff>167508</xdr:rowOff>
    </xdr:from>
    <xdr:to>
      <xdr:col>16</xdr:col>
      <xdr:colOff>63872</xdr:colOff>
      <xdr:row>33</xdr:row>
      <xdr:rowOff>167508</xdr:rowOff>
    </xdr:to>
    <xdr:graphicFrame macro="">
      <xdr:nvGraphicFramePr>
        <xdr:cNvPr id="9" name="Chart 8">
          <a:extLst>
            <a:ext uri="{FF2B5EF4-FFF2-40B4-BE49-F238E27FC236}">
              <a16:creationId xmlns:a16="http://schemas.microsoft.com/office/drawing/2014/main" id="{08672060-AFB1-4B65-907C-0F7E6043F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20171</xdr:colOff>
      <xdr:row>9</xdr:row>
      <xdr:rowOff>189939</xdr:rowOff>
    </xdr:from>
    <xdr:to>
      <xdr:col>16</xdr:col>
      <xdr:colOff>20171</xdr:colOff>
      <xdr:row>20</xdr:row>
      <xdr:rowOff>8965</xdr:rowOff>
    </xdr:to>
    <xdr:graphicFrame macro="">
      <xdr:nvGraphicFramePr>
        <xdr:cNvPr id="10" name="Chart 9">
          <a:extLst>
            <a:ext uri="{FF2B5EF4-FFF2-40B4-BE49-F238E27FC236}">
              <a16:creationId xmlns:a16="http://schemas.microsoft.com/office/drawing/2014/main" id="{918FC07B-8CC7-459A-AC03-6D758514E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231505</xdr:colOff>
      <xdr:row>36</xdr:row>
      <xdr:rowOff>9775</xdr:rowOff>
    </xdr:from>
    <xdr:to>
      <xdr:col>25</xdr:col>
      <xdr:colOff>224010</xdr:colOff>
      <xdr:row>41</xdr:row>
      <xdr:rowOff>93813</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62440C23-6A7F-146A-D918-BD578D3144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693505" y="6913957"/>
              <a:ext cx="1828232" cy="1007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12335</xdr:colOff>
      <xdr:row>33</xdr:row>
      <xdr:rowOff>780</xdr:rowOff>
    </xdr:from>
    <xdr:to>
      <xdr:col>21</xdr:col>
      <xdr:colOff>4840</xdr:colOff>
      <xdr:row>39</xdr:row>
      <xdr:rowOff>74951</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72743EE6-C464-277A-41E1-B2ADDEEE4EC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026699" y="6350780"/>
              <a:ext cx="1828232" cy="11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9968</xdr:colOff>
      <xdr:row>23</xdr:row>
      <xdr:rowOff>172980</xdr:rowOff>
    </xdr:from>
    <xdr:to>
      <xdr:col>21</xdr:col>
      <xdr:colOff>2474</xdr:colOff>
      <xdr:row>31</xdr:row>
      <xdr:rowOff>173230</xdr:rowOff>
    </xdr:to>
    <mc:AlternateContent xmlns:mc="http://schemas.openxmlformats.org/markup-compatibility/2006" xmlns:a14="http://schemas.microsoft.com/office/drawing/2010/main">
      <mc:Choice Requires="a14">
        <xdr:graphicFrame macro="">
          <xdr:nvGraphicFramePr>
            <xdr:cNvPr id="13" name="Semester">
              <a:extLst>
                <a:ext uri="{FF2B5EF4-FFF2-40B4-BE49-F238E27FC236}">
                  <a16:creationId xmlns:a16="http://schemas.microsoft.com/office/drawing/2014/main" id="{49645FD1-BCE3-6A8A-48C8-8A5B25156A3A}"/>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11024332" y="4675707"/>
              <a:ext cx="1828233" cy="1478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233941</xdr:colOff>
      <xdr:row>24</xdr:row>
      <xdr:rowOff>5996</xdr:rowOff>
    </xdr:from>
    <xdr:to>
      <xdr:col>25</xdr:col>
      <xdr:colOff>226446</xdr:colOff>
      <xdr:row>35</xdr:row>
      <xdr:rowOff>95251</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5ACA8727-12C1-D7D3-3707-D89D6E836C7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695941" y="4693451"/>
              <a:ext cx="1828232" cy="2121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83118</xdr:colOff>
      <xdr:row>23</xdr:row>
      <xdr:rowOff>127224</xdr:rowOff>
    </xdr:to>
    <xdr:pic>
      <xdr:nvPicPr>
        <xdr:cNvPr id="2" name="Picture 1">
          <a:extLst>
            <a:ext uri="{FF2B5EF4-FFF2-40B4-BE49-F238E27FC236}">
              <a16:creationId xmlns:a16="http://schemas.microsoft.com/office/drawing/2014/main" id="{7FB67958-B97D-1079-3CA3-5A7324B10EAC}"/>
            </a:ext>
          </a:extLst>
        </xdr:cNvPr>
        <xdr:cNvPicPr>
          <a:picLocks noChangeAspect="1"/>
        </xdr:cNvPicPr>
      </xdr:nvPicPr>
      <xdr:blipFill>
        <a:blip xmlns:r="http://schemas.openxmlformats.org/officeDocument/2006/relationships" r:embed="rId1"/>
        <a:stretch>
          <a:fillRect/>
        </a:stretch>
      </xdr:blipFill>
      <xdr:spPr>
        <a:xfrm>
          <a:off x="0" y="0"/>
          <a:ext cx="11055918" cy="4362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42.873840624998" createdVersion="8" refreshedVersion="8" minRefreshableVersion="3" recordCount="70" xr:uid="{B5DDAA88-2DA2-4AD9-8414-CA9ACDEDFFDA}">
  <cacheSource type="worksheet">
    <worksheetSource name="StudentData"/>
  </cacheSource>
  <cacheFields count="17">
    <cacheField name="Student ID" numFmtId="0">
      <sharedItems count="70">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 v="ST051"/>
        <s v="ST052"/>
        <s v="ST053"/>
        <s v="ST054"/>
        <s v="ST055"/>
        <s v="ST056"/>
        <s v="ST057"/>
        <s v="ST058"/>
        <s v="ST059"/>
        <s v="ST060"/>
        <s v="ST061"/>
        <s v="ST062"/>
        <s v="ST063"/>
        <s v="ST064"/>
        <s v="ST065"/>
        <s v="ST066"/>
        <s v="ST067"/>
        <s v="ST068"/>
        <s v="ST069"/>
        <s v="ST070"/>
      </sharedItems>
    </cacheField>
    <cacheField name="Student Name" numFmtId="0">
      <sharedItems/>
    </cacheField>
    <cacheField name="Gender" numFmtId="0">
      <sharedItems count="2">
        <s v="M"/>
        <s v="F"/>
      </sharedItems>
    </cacheField>
    <cacheField name="Department" numFmtId="0">
      <sharedItems count="3">
        <s v="BBA"/>
        <s v="BCOM"/>
        <s v="MBA"/>
      </sharedItems>
    </cacheField>
    <cacheField name="Course Name" numFmtId="0">
      <sharedItems count="11">
        <s v="Operations"/>
        <s v="Banking"/>
        <s v="Business Analytics"/>
        <s v="Finance"/>
        <s v="Economics"/>
        <s v="Entrepreneurship"/>
        <s v="Digital Marketing"/>
        <s v="HR"/>
        <s v="Taxation"/>
        <s v="Marketing"/>
        <s v="Accounting"/>
      </sharedItems>
    </cacheField>
    <cacheField name="Semester" numFmtId="0">
      <sharedItems count="4">
        <s v="III"/>
        <s v="IV"/>
        <s v="I"/>
        <s v="II"/>
      </sharedItems>
    </cacheField>
    <cacheField name="Attendance (%)" numFmtId="0">
      <sharedItems containsSemiMixedTypes="0" containsString="0" containsNumber="1" containsInteger="1" minValue="70" maxValue="99"/>
    </cacheField>
    <cacheField name="Internal Marks" numFmtId="0">
      <sharedItems containsSemiMixedTypes="0" containsString="0" containsNumber="1" containsInteger="1" minValue="30" maxValue="50"/>
    </cacheField>
    <cacheField name="External Marks" numFmtId="0">
      <sharedItems containsSemiMixedTypes="0" containsString="0" containsNumber="1" containsInteger="1" minValue="30" maxValue="50"/>
    </cacheField>
    <cacheField name="Total Marks" numFmtId="0">
      <sharedItems containsSemiMixedTypes="0" containsString="0" containsNumber="1" containsInteger="1" minValue="66" maxValue="95"/>
    </cacheField>
    <cacheField name="Grade" numFmtId="0">
      <sharedItems count="4">
        <s v="B+"/>
        <s v="A"/>
        <s v="A+"/>
        <s v="B"/>
      </sharedItems>
    </cacheField>
    <cacheField name="City" numFmtId="0">
      <sharedItems count="10">
        <s v="Delhi"/>
        <s v="Mumbai"/>
        <s v="Hyderabad"/>
        <s v="Ahmedabad"/>
        <s v="Jaipur"/>
        <s v="Indore"/>
        <s v="Nagpur"/>
        <s v="Chennai"/>
        <s v="Bangalore"/>
        <s v="Pune"/>
      </sharedItems>
    </cacheField>
    <cacheField name="Admission Year" numFmtId="0">
      <sharedItems containsSemiMixedTypes="0" containsString="0" containsNumber="1" containsInteger="1" minValue="2024" maxValue="2024"/>
    </cacheField>
    <cacheField name="Academic Year" numFmtId="0">
      <sharedItems/>
    </cacheField>
    <cacheField name="Placement Status" numFmtId="0">
      <sharedItems count="2">
        <s v="Not Placed"/>
        <s v="Placed"/>
      </sharedItems>
    </cacheField>
    <cacheField name="Internship Score" numFmtId="0">
      <sharedItems containsSemiMixedTypes="0" containsString="0" containsNumber="1" containsInteger="1" minValue="6" maxValue="10"/>
    </cacheField>
    <cacheField name="Mentor Name" numFmtId="0">
      <sharedItems count="5">
        <s v="Mr. Nair"/>
        <s v="Mr. Iyer"/>
        <s v="Ms. Patel"/>
        <s v="Mrs. Verma"/>
        <s v="Mr. Sharma"/>
      </sharedItems>
    </cacheField>
  </cacheFields>
  <extLst>
    <ext xmlns:x14="http://schemas.microsoft.com/office/spreadsheetml/2009/9/main" uri="{725AE2AE-9491-48be-B2B4-4EB974FC3084}">
      <x14:pivotCacheDefinition pivotCacheId="1825324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iddharth Rathi"/>
    <x v="0"/>
    <x v="0"/>
    <x v="0"/>
    <x v="0"/>
    <n v="91"/>
    <n v="44"/>
    <n v="33"/>
    <n v="77"/>
    <x v="0"/>
    <x v="0"/>
    <n v="2024"/>
    <s v="2024-2025"/>
    <x v="0"/>
    <n v="8"/>
    <x v="0"/>
  </r>
  <r>
    <x v="1"/>
    <s v="Siddharth Jain"/>
    <x v="0"/>
    <x v="1"/>
    <x v="1"/>
    <x v="1"/>
    <n v="82"/>
    <n v="41"/>
    <n v="36"/>
    <n v="77"/>
    <x v="0"/>
    <x v="1"/>
    <n v="2024"/>
    <s v="2024-2025"/>
    <x v="1"/>
    <n v="10"/>
    <x v="1"/>
  </r>
  <r>
    <x v="2"/>
    <s v="Aditi Sharma"/>
    <x v="1"/>
    <x v="2"/>
    <x v="2"/>
    <x v="2"/>
    <n v="73"/>
    <n v="44"/>
    <n v="37"/>
    <n v="81"/>
    <x v="1"/>
    <x v="2"/>
    <n v="2024"/>
    <s v="2024-2025"/>
    <x v="1"/>
    <n v="9"/>
    <x v="2"/>
  </r>
  <r>
    <x v="3"/>
    <s v="Ishaan Nair"/>
    <x v="0"/>
    <x v="0"/>
    <x v="3"/>
    <x v="3"/>
    <n v="79"/>
    <n v="34"/>
    <n v="45"/>
    <n v="79"/>
    <x v="0"/>
    <x v="3"/>
    <n v="2024"/>
    <s v="2024-2025"/>
    <x v="0"/>
    <n v="6"/>
    <x v="0"/>
  </r>
  <r>
    <x v="4"/>
    <s v="Siddharth Verma"/>
    <x v="0"/>
    <x v="1"/>
    <x v="4"/>
    <x v="2"/>
    <n v="73"/>
    <n v="38"/>
    <n v="36"/>
    <n v="74"/>
    <x v="0"/>
    <x v="0"/>
    <n v="2024"/>
    <s v="2024-2025"/>
    <x v="1"/>
    <n v="8"/>
    <x v="3"/>
  </r>
  <r>
    <x v="5"/>
    <s v="Shreya Kapoor"/>
    <x v="1"/>
    <x v="0"/>
    <x v="0"/>
    <x v="2"/>
    <n v="76"/>
    <n v="38"/>
    <n v="37"/>
    <n v="75"/>
    <x v="0"/>
    <x v="4"/>
    <n v="2024"/>
    <s v="2024-2025"/>
    <x v="1"/>
    <n v="6"/>
    <x v="2"/>
  </r>
  <r>
    <x v="6"/>
    <s v="Arjun Verma"/>
    <x v="0"/>
    <x v="0"/>
    <x v="5"/>
    <x v="3"/>
    <n v="89"/>
    <n v="41"/>
    <n v="49"/>
    <n v="90"/>
    <x v="2"/>
    <x v="1"/>
    <n v="2024"/>
    <s v="2024-2025"/>
    <x v="1"/>
    <n v="6"/>
    <x v="1"/>
  </r>
  <r>
    <x v="7"/>
    <s v="Ananya Patel"/>
    <x v="1"/>
    <x v="0"/>
    <x v="6"/>
    <x v="3"/>
    <n v="83"/>
    <n v="38"/>
    <n v="43"/>
    <n v="81"/>
    <x v="1"/>
    <x v="0"/>
    <n v="2024"/>
    <s v="2024-2025"/>
    <x v="1"/>
    <n v="8"/>
    <x v="1"/>
  </r>
  <r>
    <x v="8"/>
    <s v="Pooja Mehta"/>
    <x v="1"/>
    <x v="1"/>
    <x v="1"/>
    <x v="3"/>
    <n v="81"/>
    <n v="38"/>
    <n v="50"/>
    <n v="88"/>
    <x v="1"/>
    <x v="5"/>
    <n v="2024"/>
    <s v="2024-2025"/>
    <x v="1"/>
    <n v="7"/>
    <x v="2"/>
  </r>
  <r>
    <x v="9"/>
    <s v="Simran Jain"/>
    <x v="1"/>
    <x v="2"/>
    <x v="7"/>
    <x v="1"/>
    <n v="95"/>
    <n v="37"/>
    <n v="32"/>
    <n v="69"/>
    <x v="3"/>
    <x v="6"/>
    <n v="2024"/>
    <s v="2024-2025"/>
    <x v="0"/>
    <n v="10"/>
    <x v="2"/>
  </r>
  <r>
    <x v="10"/>
    <s v="Ankit Deshmukh"/>
    <x v="0"/>
    <x v="1"/>
    <x v="8"/>
    <x v="3"/>
    <n v="94"/>
    <n v="48"/>
    <n v="40"/>
    <n v="88"/>
    <x v="1"/>
    <x v="3"/>
    <n v="2024"/>
    <s v="2024-2025"/>
    <x v="1"/>
    <n v="8"/>
    <x v="2"/>
  </r>
  <r>
    <x v="11"/>
    <s v="Shreya Verma"/>
    <x v="1"/>
    <x v="2"/>
    <x v="9"/>
    <x v="2"/>
    <n v="74"/>
    <n v="48"/>
    <n v="45"/>
    <n v="93"/>
    <x v="2"/>
    <x v="5"/>
    <n v="2024"/>
    <s v="2024-2025"/>
    <x v="0"/>
    <n v="10"/>
    <x v="0"/>
  </r>
  <r>
    <x v="12"/>
    <s v="Vivaan Patel"/>
    <x v="0"/>
    <x v="2"/>
    <x v="2"/>
    <x v="3"/>
    <n v="95"/>
    <n v="35"/>
    <n v="45"/>
    <n v="80"/>
    <x v="1"/>
    <x v="7"/>
    <n v="2024"/>
    <s v="2024-2025"/>
    <x v="0"/>
    <n v="7"/>
    <x v="2"/>
  </r>
  <r>
    <x v="13"/>
    <s v="Siddharth Rathi"/>
    <x v="0"/>
    <x v="2"/>
    <x v="7"/>
    <x v="1"/>
    <n v="75"/>
    <n v="40"/>
    <n v="41"/>
    <n v="81"/>
    <x v="1"/>
    <x v="2"/>
    <n v="2024"/>
    <s v="2024-2025"/>
    <x v="1"/>
    <n v="9"/>
    <x v="1"/>
  </r>
  <r>
    <x v="14"/>
    <s v="Ayaan Rao"/>
    <x v="0"/>
    <x v="1"/>
    <x v="10"/>
    <x v="1"/>
    <n v="91"/>
    <n v="35"/>
    <n v="37"/>
    <n v="72"/>
    <x v="0"/>
    <x v="4"/>
    <n v="2024"/>
    <s v="2024-2025"/>
    <x v="0"/>
    <n v="9"/>
    <x v="2"/>
  </r>
  <r>
    <x v="15"/>
    <s v="Kavya Deshmukh"/>
    <x v="1"/>
    <x v="1"/>
    <x v="8"/>
    <x v="0"/>
    <n v="81"/>
    <n v="42"/>
    <n v="34"/>
    <n v="76"/>
    <x v="0"/>
    <x v="5"/>
    <n v="2024"/>
    <s v="2024-2025"/>
    <x v="0"/>
    <n v="10"/>
    <x v="3"/>
  </r>
  <r>
    <x v="16"/>
    <s v="Arjun Rao"/>
    <x v="0"/>
    <x v="0"/>
    <x v="0"/>
    <x v="1"/>
    <n v="89"/>
    <n v="46"/>
    <n v="36"/>
    <n v="82"/>
    <x v="1"/>
    <x v="8"/>
    <n v="2024"/>
    <s v="2024-2025"/>
    <x v="0"/>
    <n v="9"/>
    <x v="4"/>
  </r>
  <r>
    <x v="17"/>
    <s v="Kavya Rao"/>
    <x v="1"/>
    <x v="2"/>
    <x v="2"/>
    <x v="0"/>
    <n v="73"/>
    <n v="47"/>
    <n v="45"/>
    <n v="92"/>
    <x v="2"/>
    <x v="0"/>
    <n v="2024"/>
    <s v="2024-2025"/>
    <x v="0"/>
    <n v="7"/>
    <x v="4"/>
  </r>
  <r>
    <x v="18"/>
    <s v="Diya Nair"/>
    <x v="1"/>
    <x v="0"/>
    <x v="3"/>
    <x v="3"/>
    <n v="76"/>
    <n v="44"/>
    <n v="37"/>
    <n v="81"/>
    <x v="1"/>
    <x v="8"/>
    <n v="2024"/>
    <s v="2024-2025"/>
    <x v="0"/>
    <n v="9"/>
    <x v="0"/>
  </r>
  <r>
    <x v="19"/>
    <s v="Karan Verma"/>
    <x v="0"/>
    <x v="0"/>
    <x v="6"/>
    <x v="1"/>
    <n v="73"/>
    <n v="36"/>
    <n v="30"/>
    <n v="66"/>
    <x v="3"/>
    <x v="3"/>
    <n v="2024"/>
    <s v="2024-2025"/>
    <x v="1"/>
    <n v="6"/>
    <x v="1"/>
  </r>
  <r>
    <x v="20"/>
    <s v="Ananya Nair"/>
    <x v="1"/>
    <x v="1"/>
    <x v="1"/>
    <x v="0"/>
    <n v="87"/>
    <n v="44"/>
    <n v="40"/>
    <n v="84"/>
    <x v="1"/>
    <x v="4"/>
    <n v="2024"/>
    <s v="2024-2025"/>
    <x v="0"/>
    <n v="9"/>
    <x v="3"/>
  </r>
  <r>
    <x v="21"/>
    <s v="Riya Nair"/>
    <x v="1"/>
    <x v="1"/>
    <x v="1"/>
    <x v="1"/>
    <n v="80"/>
    <n v="37"/>
    <n v="31"/>
    <n v="68"/>
    <x v="3"/>
    <x v="5"/>
    <n v="2024"/>
    <s v="2024-2025"/>
    <x v="1"/>
    <n v="8"/>
    <x v="1"/>
  </r>
  <r>
    <x v="22"/>
    <s v="Priya Jain"/>
    <x v="1"/>
    <x v="2"/>
    <x v="3"/>
    <x v="2"/>
    <n v="75"/>
    <n v="37"/>
    <n v="36"/>
    <n v="73"/>
    <x v="0"/>
    <x v="6"/>
    <n v="2024"/>
    <s v="2024-2025"/>
    <x v="1"/>
    <n v="7"/>
    <x v="3"/>
  </r>
  <r>
    <x v="23"/>
    <s v="Ankit Patel"/>
    <x v="0"/>
    <x v="1"/>
    <x v="1"/>
    <x v="2"/>
    <n v="98"/>
    <n v="41"/>
    <n v="47"/>
    <n v="88"/>
    <x v="1"/>
    <x v="8"/>
    <n v="2024"/>
    <s v="2024-2025"/>
    <x v="1"/>
    <n v="8"/>
    <x v="4"/>
  </r>
  <r>
    <x v="24"/>
    <s v="Sneha Patel"/>
    <x v="1"/>
    <x v="0"/>
    <x v="0"/>
    <x v="0"/>
    <n v="83"/>
    <n v="41"/>
    <n v="42"/>
    <n v="83"/>
    <x v="1"/>
    <x v="0"/>
    <n v="2024"/>
    <s v="2024-2025"/>
    <x v="0"/>
    <n v="10"/>
    <x v="1"/>
  </r>
  <r>
    <x v="25"/>
    <s v="Arjun Verma"/>
    <x v="0"/>
    <x v="0"/>
    <x v="6"/>
    <x v="2"/>
    <n v="84"/>
    <n v="37"/>
    <n v="50"/>
    <n v="87"/>
    <x v="1"/>
    <x v="6"/>
    <n v="2024"/>
    <s v="2024-2025"/>
    <x v="1"/>
    <n v="8"/>
    <x v="2"/>
  </r>
  <r>
    <x v="26"/>
    <s v="Ishaan Deshmukh"/>
    <x v="0"/>
    <x v="1"/>
    <x v="8"/>
    <x v="3"/>
    <n v="96"/>
    <n v="48"/>
    <n v="34"/>
    <n v="82"/>
    <x v="1"/>
    <x v="3"/>
    <n v="2024"/>
    <s v="2024-2025"/>
    <x v="1"/>
    <n v="10"/>
    <x v="2"/>
  </r>
  <r>
    <x v="27"/>
    <s v="Diya Sharma"/>
    <x v="1"/>
    <x v="0"/>
    <x v="3"/>
    <x v="0"/>
    <n v="86"/>
    <n v="34"/>
    <n v="41"/>
    <n v="75"/>
    <x v="0"/>
    <x v="5"/>
    <n v="2024"/>
    <s v="2024-2025"/>
    <x v="0"/>
    <n v="9"/>
    <x v="0"/>
  </r>
  <r>
    <x v="28"/>
    <s v="Aditya Rathi"/>
    <x v="0"/>
    <x v="1"/>
    <x v="1"/>
    <x v="3"/>
    <n v="78"/>
    <n v="44"/>
    <n v="36"/>
    <n v="80"/>
    <x v="1"/>
    <x v="4"/>
    <n v="2024"/>
    <s v="2024-2025"/>
    <x v="0"/>
    <n v="6"/>
    <x v="4"/>
  </r>
  <r>
    <x v="29"/>
    <s v="Aditya Sharma"/>
    <x v="0"/>
    <x v="1"/>
    <x v="1"/>
    <x v="1"/>
    <n v="79"/>
    <n v="30"/>
    <n v="37"/>
    <n v="67"/>
    <x v="3"/>
    <x v="3"/>
    <n v="2024"/>
    <s v="2024-2025"/>
    <x v="1"/>
    <n v="10"/>
    <x v="1"/>
  </r>
  <r>
    <x v="30"/>
    <s v="Neha Patel"/>
    <x v="1"/>
    <x v="2"/>
    <x v="2"/>
    <x v="2"/>
    <n v="89"/>
    <n v="37"/>
    <n v="32"/>
    <n v="69"/>
    <x v="3"/>
    <x v="1"/>
    <n v="2024"/>
    <s v="2024-2025"/>
    <x v="0"/>
    <n v="9"/>
    <x v="3"/>
  </r>
  <r>
    <x v="31"/>
    <s v="Meera Verma"/>
    <x v="1"/>
    <x v="1"/>
    <x v="4"/>
    <x v="1"/>
    <n v="77"/>
    <n v="33"/>
    <n v="34"/>
    <n v="67"/>
    <x v="3"/>
    <x v="2"/>
    <n v="2024"/>
    <s v="2024-2025"/>
    <x v="1"/>
    <n v="7"/>
    <x v="4"/>
  </r>
  <r>
    <x v="32"/>
    <s v="Simran Kapoor"/>
    <x v="1"/>
    <x v="1"/>
    <x v="4"/>
    <x v="1"/>
    <n v="95"/>
    <n v="42"/>
    <n v="37"/>
    <n v="79"/>
    <x v="0"/>
    <x v="5"/>
    <n v="2024"/>
    <s v="2024-2025"/>
    <x v="1"/>
    <n v="10"/>
    <x v="0"/>
  </r>
  <r>
    <x v="33"/>
    <s v="Meera Nair"/>
    <x v="1"/>
    <x v="2"/>
    <x v="3"/>
    <x v="1"/>
    <n v="92"/>
    <n v="45"/>
    <n v="46"/>
    <n v="91"/>
    <x v="2"/>
    <x v="0"/>
    <n v="2024"/>
    <s v="2024-2025"/>
    <x v="0"/>
    <n v="7"/>
    <x v="1"/>
  </r>
  <r>
    <x v="34"/>
    <s v="Arjun Sharma"/>
    <x v="0"/>
    <x v="1"/>
    <x v="8"/>
    <x v="2"/>
    <n v="70"/>
    <n v="38"/>
    <n v="36"/>
    <n v="74"/>
    <x v="0"/>
    <x v="0"/>
    <n v="2024"/>
    <s v="2024-2025"/>
    <x v="0"/>
    <n v="7"/>
    <x v="4"/>
  </r>
  <r>
    <x v="35"/>
    <s v="Pooja Patel"/>
    <x v="1"/>
    <x v="0"/>
    <x v="3"/>
    <x v="2"/>
    <n v="89"/>
    <n v="38"/>
    <n v="36"/>
    <n v="74"/>
    <x v="0"/>
    <x v="8"/>
    <n v="2024"/>
    <s v="2024-2025"/>
    <x v="0"/>
    <n v="8"/>
    <x v="4"/>
  </r>
  <r>
    <x v="36"/>
    <s v="Riya Rao"/>
    <x v="1"/>
    <x v="2"/>
    <x v="9"/>
    <x v="0"/>
    <n v="77"/>
    <n v="46"/>
    <n v="33"/>
    <n v="79"/>
    <x v="0"/>
    <x v="6"/>
    <n v="2024"/>
    <s v="2024-2025"/>
    <x v="0"/>
    <n v="9"/>
    <x v="3"/>
  </r>
  <r>
    <x v="37"/>
    <s v="Diya Patel"/>
    <x v="1"/>
    <x v="0"/>
    <x v="5"/>
    <x v="2"/>
    <n v="77"/>
    <n v="39"/>
    <n v="32"/>
    <n v="71"/>
    <x v="0"/>
    <x v="5"/>
    <n v="2024"/>
    <s v="2024-2025"/>
    <x v="0"/>
    <n v="10"/>
    <x v="3"/>
  </r>
  <r>
    <x v="38"/>
    <s v="Simran Jain"/>
    <x v="1"/>
    <x v="2"/>
    <x v="3"/>
    <x v="2"/>
    <n v="74"/>
    <n v="39"/>
    <n v="48"/>
    <n v="87"/>
    <x v="1"/>
    <x v="7"/>
    <n v="2024"/>
    <s v="2024-2025"/>
    <x v="0"/>
    <n v="9"/>
    <x v="1"/>
  </r>
  <r>
    <x v="39"/>
    <s v="Ankit Kapoor"/>
    <x v="0"/>
    <x v="2"/>
    <x v="3"/>
    <x v="3"/>
    <n v="73"/>
    <n v="33"/>
    <n v="40"/>
    <n v="73"/>
    <x v="0"/>
    <x v="6"/>
    <n v="2024"/>
    <s v="2024-2025"/>
    <x v="0"/>
    <n v="9"/>
    <x v="2"/>
  </r>
  <r>
    <x v="40"/>
    <s v="Siddharth Rathi"/>
    <x v="0"/>
    <x v="0"/>
    <x v="0"/>
    <x v="0"/>
    <n v="83"/>
    <n v="32"/>
    <n v="40"/>
    <n v="72"/>
    <x v="0"/>
    <x v="2"/>
    <n v="2024"/>
    <s v="2024-2025"/>
    <x v="0"/>
    <n v="10"/>
    <x v="2"/>
  </r>
  <r>
    <x v="41"/>
    <s v="Arjun Sharma"/>
    <x v="0"/>
    <x v="1"/>
    <x v="1"/>
    <x v="3"/>
    <n v="73"/>
    <n v="48"/>
    <n v="43"/>
    <n v="91"/>
    <x v="2"/>
    <x v="5"/>
    <n v="2024"/>
    <s v="2024-2025"/>
    <x v="0"/>
    <n v="6"/>
    <x v="2"/>
  </r>
  <r>
    <x v="42"/>
    <s v="Meera Rathi"/>
    <x v="1"/>
    <x v="0"/>
    <x v="6"/>
    <x v="3"/>
    <n v="84"/>
    <n v="37"/>
    <n v="31"/>
    <n v="68"/>
    <x v="3"/>
    <x v="9"/>
    <n v="2024"/>
    <s v="2024-2025"/>
    <x v="0"/>
    <n v="8"/>
    <x v="0"/>
  </r>
  <r>
    <x v="43"/>
    <s v="Arjun Mehta"/>
    <x v="0"/>
    <x v="0"/>
    <x v="3"/>
    <x v="2"/>
    <n v="83"/>
    <n v="42"/>
    <n v="47"/>
    <n v="89"/>
    <x v="1"/>
    <x v="1"/>
    <n v="2024"/>
    <s v="2024-2025"/>
    <x v="1"/>
    <n v="9"/>
    <x v="0"/>
  </r>
  <r>
    <x v="44"/>
    <s v="Siddharth Kapoor"/>
    <x v="0"/>
    <x v="1"/>
    <x v="1"/>
    <x v="3"/>
    <n v="79"/>
    <n v="47"/>
    <n v="39"/>
    <n v="86"/>
    <x v="1"/>
    <x v="6"/>
    <n v="2024"/>
    <s v="2024-2025"/>
    <x v="0"/>
    <n v="9"/>
    <x v="4"/>
  </r>
  <r>
    <x v="45"/>
    <s v="Sneha Deshmukh"/>
    <x v="1"/>
    <x v="2"/>
    <x v="7"/>
    <x v="0"/>
    <n v="90"/>
    <n v="30"/>
    <n v="41"/>
    <n v="71"/>
    <x v="0"/>
    <x v="9"/>
    <n v="2024"/>
    <s v="2024-2025"/>
    <x v="1"/>
    <n v="9"/>
    <x v="4"/>
  </r>
  <r>
    <x v="46"/>
    <s v="Meera Sharma"/>
    <x v="1"/>
    <x v="1"/>
    <x v="4"/>
    <x v="1"/>
    <n v="72"/>
    <n v="43"/>
    <n v="32"/>
    <n v="75"/>
    <x v="0"/>
    <x v="6"/>
    <n v="2024"/>
    <s v="2024-2025"/>
    <x v="1"/>
    <n v="8"/>
    <x v="2"/>
  </r>
  <r>
    <x v="47"/>
    <s v="Diya Patel"/>
    <x v="1"/>
    <x v="2"/>
    <x v="3"/>
    <x v="0"/>
    <n v="77"/>
    <n v="40"/>
    <n v="48"/>
    <n v="88"/>
    <x v="1"/>
    <x v="7"/>
    <n v="2024"/>
    <s v="2024-2025"/>
    <x v="0"/>
    <n v="7"/>
    <x v="1"/>
  </r>
  <r>
    <x v="48"/>
    <s v="Ishaan Verma"/>
    <x v="0"/>
    <x v="0"/>
    <x v="3"/>
    <x v="2"/>
    <n v="82"/>
    <n v="47"/>
    <n v="43"/>
    <n v="90"/>
    <x v="2"/>
    <x v="1"/>
    <n v="2024"/>
    <s v="2024-2025"/>
    <x v="0"/>
    <n v="7"/>
    <x v="1"/>
  </r>
  <r>
    <x v="49"/>
    <s v="Aarav Jain"/>
    <x v="0"/>
    <x v="1"/>
    <x v="8"/>
    <x v="3"/>
    <n v="94"/>
    <n v="33"/>
    <n v="46"/>
    <n v="79"/>
    <x v="0"/>
    <x v="7"/>
    <n v="2024"/>
    <s v="2024-2025"/>
    <x v="1"/>
    <n v="9"/>
    <x v="1"/>
  </r>
  <r>
    <x v="50"/>
    <s v="Priya Kapoor"/>
    <x v="1"/>
    <x v="1"/>
    <x v="10"/>
    <x v="3"/>
    <n v="92"/>
    <n v="32"/>
    <n v="50"/>
    <n v="82"/>
    <x v="1"/>
    <x v="4"/>
    <n v="2024"/>
    <s v="2024-2025"/>
    <x v="0"/>
    <n v="7"/>
    <x v="2"/>
  </r>
  <r>
    <x v="51"/>
    <s v="Ananya Rao"/>
    <x v="1"/>
    <x v="2"/>
    <x v="9"/>
    <x v="0"/>
    <n v="77"/>
    <n v="43"/>
    <n v="38"/>
    <n v="81"/>
    <x v="1"/>
    <x v="1"/>
    <n v="2024"/>
    <s v="2024-2025"/>
    <x v="0"/>
    <n v="8"/>
    <x v="2"/>
  </r>
  <r>
    <x v="52"/>
    <s v="Vivek Patel"/>
    <x v="0"/>
    <x v="2"/>
    <x v="3"/>
    <x v="2"/>
    <n v="81"/>
    <n v="46"/>
    <n v="36"/>
    <n v="82"/>
    <x v="1"/>
    <x v="1"/>
    <n v="2024"/>
    <s v="2024-2025"/>
    <x v="0"/>
    <n v="7"/>
    <x v="3"/>
  </r>
  <r>
    <x v="53"/>
    <s v="Priya Kapoor"/>
    <x v="1"/>
    <x v="1"/>
    <x v="8"/>
    <x v="1"/>
    <n v="89"/>
    <n v="47"/>
    <n v="39"/>
    <n v="86"/>
    <x v="1"/>
    <x v="0"/>
    <n v="2024"/>
    <s v="2024-2025"/>
    <x v="1"/>
    <n v="10"/>
    <x v="0"/>
  </r>
  <r>
    <x v="54"/>
    <s v="Meera Kapoor"/>
    <x v="1"/>
    <x v="0"/>
    <x v="6"/>
    <x v="3"/>
    <n v="98"/>
    <n v="33"/>
    <n v="33"/>
    <n v="66"/>
    <x v="3"/>
    <x v="9"/>
    <n v="2024"/>
    <s v="2024-2025"/>
    <x v="0"/>
    <n v="8"/>
    <x v="1"/>
  </r>
  <r>
    <x v="55"/>
    <s v="Diya Mehta"/>
    <x v="1"/>
    <x v="0"/>
    <x v="3"/>
    <x v="1"/>
    <n v="77"/>
    <n v="35"/>
    <n v="42"/>
    <n v="77"/>
    <x v="0"/>
    <x v="6"/>
    <n v="2024"/>
    <s v="2024-2025"/>
    <x v="0"/>
    <n v="9"/>
    <x v="4"/>
  </r>
  <r>
    <x v="56"/>
    <s v="Aditya Mehta"/>
    <x v="0"/>
    <x v="1"/>
    <x v="8"/>
    <x v="3"/>
    <n v="99"/>
    <n v="49"/>
    <n v="34"/>
    <n v="83"/>
    <x v="1"/>
    <x v="5"/>
    <n v="2024"/>
    <s v="2024-2025"/>
    <x v="0"/>
    <n v="6"/>
    <x v="2"/>
  </r>
  <r>
    <x v="57"/>
    <s v="Kavya Patel"/>
    <x v="1"/>
    <x v="2"/>
    <x v="9"/>
    <x v="1"/>
    <n v="98"/>
    <n v="38"/>
    <n v="46"/>
    <n v="84"/>
    <x v="1"/>
    <x v="3"/>
    <n v="2024"/>
    <s v="2024-2025"/>
    <x v="0"/>
    <n v="10"/>
    <x v="2"/>
  </r>
  <r>
    <x v="58"/>
    <s v="Priya Sharma"/>
    <x v="1"/>
    <x v="0"/>
    <x v="0"/>
    <x v="1"/>
    <n v="93"/>
    <n v="47"/>
    <n v="43"/>
    <n v="90"/>
    <x v="2"/>
    <x v="6"/>
    <n v="2024"/>
    <s v="2024-2025"/>
    <x v="1"/>
    <n v="10"/>
    <x v="1"/>
  </r>
  <r>
    <x v="59"/>
    <s v="Aarav Deshmukh"/>
    <x v="0"/>
    <x v="2"/>
    <x v="9"/>
    <x v="0"/>
    <n v="95"/>
    <n v="43"/>
    <n v="41"/>
    <n v="84"/>
    <x v="1"/>
    <x v="9"/>
    <n v="2024"/>
    <s v="2024-2025"/>
    <x v="1"/>
    <n v="6"/>
    <x v="4"/>
  </r>
  <r>
    <x v="60"/>
    <s v="Aditi Mehta"/>
    <x v="1"/>
    <x v="2"/>
    <x v="9"/>
    <x v="1"/>
    <n v="89"/>
    <n v="35"/>
    <n v="42"/>
    <n v="77"/>
    <x v="0"/>
    <x v="4"/>
    <n v="2024"/>
    <s v="2024-2025"/>
    <x v="1"/>
    <n v="6"/>
    <x v="1"/>
  </r>
  <r>
    <x v="61"/>
    <s v="Pooja Deshmukh"/>
    <x v="1"/>
    <x v="1"/>
    <x v="8"/>
    <x v="3"/>
    <n v="89"/>
    <n v="31"/>
    <n v="38"/>
    <n v="69"/>
    <x v="3"/>
    <x v="4"/>
    <n v="2024"/>
    <s v="2024-2025"/>
    <x v="1"/>
    <n v="6"/>
    <x v="4"/>
  </r>
  <r>
    <x v="62"/>
    <s v="Ayaan Patel"/>
    <x v="0"/>
    <x v="1"/>
    <x v="1"/>
    <x v="2"/>
    <n v="99"/>
    <n v="33"/>
    <n v="34"/>
    <n v="67"/>
    <x v="3"/>
    <x v="5"/>
    <n v="2024"/>
    <s v="2024-2025"/>
    <x v="0"/>
    <n v="6"/>
    <x v="4"/>
  </r>
  <r>
    <x v="63"/>
    <s v="Aditi Sharma"/>
    <x v="1"/>
    <x v="1"/>
    <x v="4"/>
    <x v="0"/>
    <n v="73"/>
    <n v="43"/>
    <n v="46"/>
    <n v="89"/>
    <x v="1"/>
    <x v="9"/>
    <n v="2024"/>
    <s v="2024-2025"/>
    <x v="1"/>
    <n v="9"/>
    <x v="1"/>
  </r>
  <r>
    <x v="64"/>
    <s v="Aditi Jain"/>
    <x v="1"/>
    <x v="0"/>
    <x v="6"/>
    <x v="1"/>
    <n v="92"/>
    <n v="50"/>
    <n v="43"/>
    <n v="93"/>
    <x v="2"/>
    <x v="0"/>
    <n v="2024"/>
    <s v="2024-2025"/>
    <x v="1"/>
    <n v="6"/>
    <x v="2"/>
  </r>
  <r>
    <x v="65"/>
    <s v="Priya Rao"/>
    <x v="1"/>
    <x v="0"/>
    <x v="6"/>
    <x v="2"/>
    <n v="95"/>
    <n v="33"/>
    <n v="48"/>
    <n v="81"/>
    <x v="1"/>
    <x v="7"/>
    <n v="2024"/>
    <s v="2024-2025"/>
    <x v="0"/>
    <n v="7"/>
    <x v="4"/>
  </r>
  <r>
    <x v="66"/>
    <s v="Diya Sharma"/>
    <x v="1"/>
    <x v="2"/>
    <x v="7"/>
    <x v="0"/>
    <n v="75"/>
    <n v="44"/>
    <n v="33"/>
    <n v="77"/>
    <x v="0"/>
    <x v="7"/>
    <n v="2024"/>
    <s v="2024-2025"/>
    <x v="1"/>
    <n v="8"/>
    <x v="0"/>
  </r>
  <r>
    <x v="67"/>
    <s v="Aarav Patel"/>
    <x v="0"/>
    <x v="1"/>
    <x v="10"/>
    <x v="2"/>
    <n v="92"/>
    <n v="34"/>
    <n v="32"/>
    <n v="66"/>
    <x v="3"/>
    <x v="7"/>
    <n v="2024"/>
    <s v="2024-2025"/>
    <x v="0"/>
    <n v="6"/>
    <x v="2"/>
  </r>
  <r>
    <x v="68"/>
    <s v="Raj Rao"/>
    <x v="0"/>
    <x v="2"/>
    <x v="7"/>
    <x v="2"/>
    <n v="76"/>
    <n v="50"/>
    <n v="45"/>
    <n v="95"/>
    <x v="2"/>
    <x v="8"/>
    <n v="2024"/>
    <s v="2024-2025"/>
    <x v="1"/>
    <n v="8"/>
    <x v="3"/>
  </r>
  <r>
    <x v="69"/>
    <s v="Ankit Verma"/>
    <x v="0"/>
    <x v="0"/>
    <x v="0"/>
    <x v="2"/>
    <n v="88"/>
    <n v="41"/>
    <n v="50"/>
    <n v="91"/>
    <x v="2"/>
    <x v="9"/>
    <n v="2024"/>
    <s v="2024-2025"/>
    <x v="0"/>
    <n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A474D-D816-4FA2-8F83-E5A068D857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D36" firstHeaderRow="1" firstDataRow="2" firstDataCol="1"/>
  <pivotFields count="17">
    <pivotField dataField="1" showAll="0"/>
    <pivotField showAll="0"/>
    <pivotField axis="axisCol" showAll="0">
      <items count="3">
        <item x="1"/>
        <item x="0"/>
        <item t="default"/>
      </items>
    </pivotField>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axis="axisRow" showAll="0">
      <items count="5">
        <item x="1"/>
        <item x="2"/>
        <item x="3"/>
        <item x="0"/>
        <item t="default"/>
      </items>
    </pivotField>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10"/>
  </rowFields>
  <rowItems count="5">
    <i>
      <x/>
    </i>
    <i>
      <x v="1"/>
    </i>
    <i>
      <x v="2"/>
    </i>
    <i>
      <x v="3"/>
    </i>
    <i t="grand">
      <x/>
    </i>
  </rowItems>
  <colFields count="1">
    <field x="2"/>
  </colFields>
  <colItems count="3">
    <i>
      <x/>
    </i>
    <i>
      <x v="1"/>
    </i>
    <i t="grand">
      <x/>
    </i>
  </colItems>
  <dataFields count="1">
    <dataField name="Count of Student 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CE009-C1E3-41DB-988C-EFEA4ECC1F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27" firstHeaderRow="0" firstDataRow="1" firstDataCol="1"/>
  <pivotFields count="17">
    <pivotField showAll="0"/>
    <pivotField showAll="0"/>
    <pivotField showAll="0">
      <items count="3">
        <item x="1"/>
        <item x="0"/>
        <item t="default"/>
      </items>
    </pivotField>
    <pivotField showAll="0">
      <items count="4">
        <item x="0"/>
        <item x="1"/>
        <item x="2"/>
        <item t="default"/>
      </items>
    </pivotField>
    <pivotField axis="axisRow" showAll="0">
      <items count="12">
        <item x="3"/>
        <item x="7"/>
        <item x="10"/>
        <item x="1"/>
        <item x="2"/>
        <item x="6"/>
        <item x="4"/>
        <item x="5"/>
        <item x="9"/>
        <item x="0"/>
        <item x="8"/>
        <item t="default"/>
      </items>
    </pivotField>
    <pivotField showAll="0">
      <items count="5">
        <item x="2"/>
        <item x="3"/>
        <item x="0"/>
        <item x="1"/>
        <item t="default"/>
      </items>
    </pivotField>
    <pivotField dataField="1" showAll="0"/>
    <pivotField showAll="0"/>
    <pivotField showAll="0"/>
    <pivotField dataField="1" showAll="0"/>
    <pivotField showAll="0"/>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Average of Total Marks" fld="9" subtotal="average" baseField="4" baseItem="0" numFmtId="164"/>
    <dataField name="Average of Attendance (%)" fld="6" subtotal="average" baseField="4"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4" count="1" selected="0">
            <x v="0"/>
          </reference>
        </references>
      </pivotArea>
    </chartFormat>
    <chartFormat chart="5" format="29">
      <pivotArea type="data" outline="0" fieldPosition="0">
        <references count="2">
          <reference field="4294967294" count="1" selected="0">
            <x v="0"/>
          </reference>
          <reference field="4" count="1" selected="0">
            <x v="1"/>
          </reference>
        </references>
      </pivotArea>
    </chartFormat>
    <chartFormat chart="5" format="30">
      <pivotArea type="data" outline="0" fieldPosition="0">
        <references count="2">
          <reference field="4294967294" count="1" selected="0">
            <x v="0"/>
          </reference>
          <reference field="4" count="1" selected="0">
            <x v="2"/>
          </reference>
        </references>
      </pivotArea>
    </chartFormat>
    <chartFormat chart="5" format="31">
      <pivotArea type="data" outline="0" fieldPosition="0">
        <references count="2">
          <reference field="4294967294" count="1" selected="0">
            <x v="0"/>
          </reference>
          <reference field="4" count="1" selected="0">
            <x v="3"/>
          </reference>
        </references>
      </pivotArea>
    </chartFormat>
    <chartFormat chart="5" format="32">
      <pivotArea type="data" outline="0" fieldPosition="0">
        <references count="2">
          <reference field="4294967294" count="1" selected="0">
            <x v="0"/>
          </reference>
          <reference field="4" count="1" selected="0">
            <x v="4"/>
          </reference>
        </references>
      </pivotArea>
    </chartFormat>
    <chartFormat chart="5" format="33">
      <pivotArea type="data" outline="0" fieldPosition="0">
        <references count="2">
          <reference field="4294967294" count="1" selected="0">
            <x v="0"/>
          </reference>
          <reference field="4" count="1" selected="0">
            <x v="5"/>
          </reference>
        </references>
      </pivotArea>
    </chartFormat>
    <chartFormat chart="5" format="34">
      <pivotArea type="data" outline="0" fieldPosition="0">
        <references count="2">
          <reference field="4294967294" count="1" selected="0">
            <x v="0"/>
          </reference>
          <reference field="4" count="1" selected="0">
            <x v="6"/>
          </reference>
        </references>
      </pivotArea>
    </chartFormat>
    <chartFormat chart="5" format="35">
      <pivotArea type="data" outline="0" fieldPosition="0">
        <references count="2">
          <reference field="4294967294" count="1" selected="0">
            <x v="0"/>
          </reference>
          <reference field="4" count="1" selected="0">
            <x v="7"/>
          </reference>
        </references>
      </pivotArea>
    </chartFormat>
    <chartFormat chart="5" format="36">
      <pivotArea type="data" outline="0" fieldPosition="0">
        <references count="2">
          <reference field="4294967294" count="1" selected="0">
            <x v="0"/>
          </reference>
          <reference field="4" count="1" selected="0">
            <x v="8"/>
          </reference>
        </references>
      </pivotArea>
    </chartFormat>
    <chartFormat chart="5" format="37">
      <pivotArea type="data" outline="0" fieldPosition="0">
        <references count="2">
          <reference field="4294967294" count="1" selected="0">
            <x v="0"/>
          </reference>
          <reference field="4" count="1" selected="0">
            <x v="9"/>
          </reference>
        </references>
      </pivotArea>
    </chartFormat>
    <chartFormat chart="5" format="38">
      <pivotArea type="data" outline="0" fieldPosition="0">
        <references count="2">
          <reference field="4294967294" count="1" selected="0">
            <x v="0"/>
          </reference>
          <reference field="4" count="1" selected="0">
            <x v="10"/>
          </reference>
        </references>
      </pivotArea>
    </chartFormat>
    <chartFormat chart="5" format="39" series="1">
      <pivotArea type="data" outline="0" fieldPosition="0">
        <references count="1">
          <reference field="4294967294" count="1" selected="0">
            <x v="1"/>
          </reference>
        </references>
      </pivotArea>
    </chartFormat>
    <chartFormat chart="5" format="40">
      <pivotArea type="data" outline="0" fieldPosition="0">
        <references count="2">
          <reference field="4294967294" count="1" selected="0">
            <x v="1"/>
          </reference>
          <reference field="4" count="1" selected="0">
            <x v="0"/>
          </reference>
        </references>
      </pivotArea>
    </chartFormat>
    <chartFormat chart="5" format="41">
      <pivotArea type="data" outline="0" fieldPosition="0">
        <references count="2">
          <reference field="4294967294" count="1" selected="0">
            <x v="1"/>
          </reference>
          <reference field="4" count="1" selected="0">
            <x v="1"/>
          </reference>
        </references>
      </pivotArea>
    </chartFormat>
    <chartFormat chart="5" format="42">
      <pivotArea type="data" outline="0" fieldPosition="0">
        <references count="2">
          <reference field="4294967294" count="1" selected="0">
            <x v="1"/>
          </reference>
          <reference field="4" count="1" selected="0">
            <x v="2"/>
          </reference>
        </references>
      </pivotArea>
    </chartFormat>
    <chartFormat chart="5" format="43">
      <pivotArea type="data" outline="0" fieldPosition="0">
        <references count="2">
          <reference field="4294967294" count="1" selected="0">
            <x v="1"/>
          </reference>
          <reference field="4" count="1" selected="0">
            <x v="3"/>
          </reference>
        </references>
      </pivotArea>
    </chartFormat>
    <chartFormat chart="5" format="44">
      <pivotArea type="data" outline="0" fieldPosition="0">
        <references count="2">
          <reference field="4294967294" count="1" selected="0">
            <x v="1"/>
          </reference>
          <reference field="4" count="1" selected="0">
            <x v="4"/>
          </reference>
        </references>
      </pivotArea>
    </chartFormat>
    <chartFormat chart="5" format="45">
      <pivotArea type="data" outline="0" fieldPosition="0">
        <references count="2">
          <reference field="4294967294" count="1" selected="0">
            <x v="1"/>
          </reference>
          <reference field="4" count="1" selected="0">
            <x v="5"/>
          </reference>
        </references>
      </pivotArea>
    </chartFormat>
    <chartFormat chart="5" format="46">
      <pivotArea type="data" outline="0" fieldPosition="0">
        <references count="2">
          <reference field="4294967294" count="1" selected="0">
            <x v="1"/>
          </reference>
          <reference field="4" count="1" selected="0">
            <x v="6"/>
          </reference>
        </references>
      </pivotArea>
    </chartFormat>
    <chartFormat chart="5" format="47">
      <pivotArea type="data" outline="0" fieldPosition="0">
        <references count="2">
          <reference field="4294967294" count="1" selected="0">
            <x v="1"/>
          </reference>
          <reference field="4" count="1" selected="0">
            <x v="7"/>
          </reference>
        </references>
      </pivotArea>
    </chartFormat>
    <chartFormat chart="5" format="48">
      <pivotArea type="data" outline="0" fieldPosition="0">
        <references count="2">
          <reference field="4294967294" count="1" selected="0">
            <x v="1"/>
          </reference>
          <reference field="4" count="1" selected="0">
            <x v="8"/>
          </reference>
        </references>
      </pivotArea>
    </chartFormat>
    <chartFormat chart="5" format="49">
      <pivotArea type="data" outline="0" fieldPosition="0">
        <references count="2">
          <reference field="4294967294" count="1" selected="0">
            <x v="1"/>
          </reference>
          <reference field="4" count="1" selected="0">
            <x v="9"/>
          </reference>
        </references>
      </pivotArea>
    </chartFormat>
    <chartFormat chart="5" format="50">
      <pivotArea type="data" outline="0" fieldPosition="0">
        <references count="2">
          <reference field="4294967294" count="1" selected="0">
            <x v="1"/>
          </reference>
          <reference field="4" count="1" selected="0">
            <x v="1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0"/>
          </reference>
          <reference field="4" count="1" selected="0">
            <x v="6"/>
          </reference>
        </references>
      </pivotArea>
    </chartFormat>
    <chartFormat chart="0" format="10">
      <pivotArea type="data" outline="0" fieldPosition="0">
        <references count="2">
          <reference field="4294967294" count="1" selected="0">
            <x v="0"/>
          </reference>
          <reference field="4" count="1" selected="0">
            <x v="7"/>
          </reference>
        </references>
      </pivotArea>
    </chartFormat>
    <chartFormat chart="0" format="11">
      <pivotArea type="data" outline="0" fieldPosition="0">
        <references count="2">
          <reference field="4294967294" count="1" selected="0">
            <x v="0"/>
          </reference>
          <reference field="4" count="1" selected="0">
            <x v="8"/>
          </reference>
        </references>
      </pivotArea>
    </chartFormat>
    <chartFormat chart="0" format="12">
      <pivotArea type="data" outline="0" fieldPosition="0">
        <references count="2">
          <reference field="4294967294" count="1" selected="0">
            <x v="0"/>
          </reference>
          <reference field="4" count="1" selected="0">
            <x v="9"/>
          </reference>
        </references>
      </pivotArea>
    </chartFormat>
    <chartFormat chart="0" format="13">
      <pivotArea type="data" outline="0" fieldPosition="0">
        <references count="2">
          <reference field="4294967294" count="1" selected="0">
            <x v="0"/>
          </reference>
          <reference field="4" count="1" selected="0">
            <x v="10"/>
          </reference>
        </references>
      </pivotArea>
    </chartFormat>
    <chartFormat chart="0" format="14">
      <pivotArea type="data" outline="0" fieldPosition="0">
        <references count="2">
          <reference field="4294967294" count="1" selected="0">
            <x v="1"/>
          </reference>
          <reference field="4" count="1" selected="0">
            <x v="0"/>
          </reference>
        </references>
      </pivotArea>
    </chartFormat>
    <chartFormat chart="0" format="15">
      <pivotArea type="data" outline="0" fieldPosition="0">
        <references count="2">
          <reference field="4294967294" count="1" selected="0">
            <x v="1"/>
          </reference>
          <reference field="4" count="1" selected="0">
            <x v="1"/>
          </reference>
        </references>
      </pivotArea>
    </chartFormat>
    <chartFormat chart="0" format="16">
      <pivotArea type="data" outline="0" fieldPosition="0">
        <references count="2">
          <reference field="4294967294" count="1" selected="0">
            <x v="1"/>
          </reference>
          <reference field="4" count="1" selected="0">
            <x v="2"/>
          </reference>
        </references>
      </pivotArea>
    </chartFormat>
    <chartFormat chart="0" format="17">
      <pivotArea type="data" outline="0" fieldPosition="0">
        <references count="2">
          <reference field="4294967294" count="1" selected="0">
            <x v="1"/>
          </reference>
          <reference field="4" count="1" selected="0">
            <x v="3"/>
          </reference>
        </references>
      </pivotArea>
    </chartFormat>
    <chartFormat chart="0" format="18">
      <pivotArea type="data" outline="0" fieldPosition="0">
        <references count="2">
          <reference field="4294967294" count="1" selected="0">
            <x v="1"/>
          </reference>
          <reference field="4" count="1" selected="0">
            <x v="4"/>
          </reference>
        </references>
      </pivotArea>
    </chartFormat>
    <chartFormat chart="0" format="19">
      <pivotArea type="data" outline="0" fieldPosition="0">
        <references count="2">
          <reference field="4294967294" count="1" selected="0">
            <x v="1"/>
          </reference>
          <reference field="4" count="1" selected="0">
            <x v="5"/>
          </reference>
        </references>
      </pivotArea>
    </chartFormat>
    <chartFormat chart="0" format="20">
      <pivotArea type="data" outline="0" fieldPosition="0">
        <references count="2">
          <reference field="4294967294" count="1" selected="0">
            <x v="1"/>
          </reference>
          <reference field="4" count="1" selected="0">
            <x v="6"/>
          </reference>
        </references>
      </pivotArea>
    </chartFormat>
    <chartFormat chart="0" format="21">
      <pivotArea type="data" outline="0" fieldPosition="0">
        <references count="2">
          <reference field="4294967294" count="1" selected="0">
            <x v="1"/>
          </reference>
          <reference field="4" count="1" selected="0">
            <x v="7"/>
          </reference>
        </references>
      </pivotArea>
    </chartFormat>
    <chartFormat chart="0" format="22">
      <pivotArea type="data" outline="0" fieldPosition="0">
        <references count="2">
          <reference field="4294967294" count="1" selected="0">
            <x v="1"/>
          </reference>
          <reference field="4" count="1" selected="0">
            <x v="8"/>
          </reference>
        </references>
      </pivotArea>
    </chartFormat>
    <chartFormat chart="0" format="23">
      <pivotArea type="data" outline="0" fieldPosition="0">
        <references count="2">
          <reference field="4294967294" count="1" selected="0">
            <x v="1"/>
          </reference>
          <reference field="4" count="1" selected="0">
            <x v="9"/>
          </reference>
        </references>
      </pivotArea>
    </chartFormat>
    <chartFormat chart="0" format="24">
      <pivotArea type="data" outline="0" fieldPosition="0">
        <references count="2">
          <reference field="4294967294" count="1" selected="0">
            <x v="1"/>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06DFD-9912-41E6-B108-B0EE1C9C4F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showAll="0"/>
    <pivotField showAll="0">
      <items count="3">
        <item x="1"/>
        <item x="0"/>
        <item t="default"/>
      </items>
    </pivotField>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dataField="1" showAll="0"/>
    <pivotField showAll="0"/>
    <pivotField showAll="0">
      <items count="11">
        <item x="3"/>
        <item x="8"/>
        <item x="7"/>
        <item x="0"/>
        <item x="2"/>
        <item x="5"/>
        <item x="4"/>
        <item x="1"/>
        <item x="6"/>
        <item x="9"/>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Total Marks" fld="9"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0685E-ED63-4CC0-A01B-F50E0AB24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B58" firstHeaderRow="1" firstDataRow="1" firstDataCol="1"/>
  <pivotFields count="17">
    <pivotField showAll="0"/>
    <pivotField showAll="0"/>
    <pivotField showAll="0">
      <items count="3">
        <item x="1"/>
        <item x="0"/>
        <item t="default"/>
      </items>
    </pivotField>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1">
        <item x="3"/>
        <item x="8"/>
        <item x="7"/>
        <item x="0"/>
        <item x="2"/>
        <item x="5"/>
        <item x="4"/>
        <item x="1"/>
        <item x="6"/>
        <item x="9"/>
        <item t="default"/>
      </items>
    </pivotField>
    <pivotField showAll="0"/>
    <pivotField showAll="0"/>
    <pivotField showAll="0"/>
    <pivotField dataField="1" showAll="0"/>
    <pivotField axis="axisRow" showAll="0">
      <items count="6">
        <item x="1"/>
        <item x="0"/>
        <item x="4"/>
        <item x="3"/>
        <item x="2"/>
        <item t="default"/>
      </items>
    </pivotField>
  </pivotFields>
  <rowFields count="1">
    <field x="16"/>
  </rowFields>
  <rowItems count="6">
    <i>
      <x/>
    </i>
    <i>
      <x v="1"/>
    </i>
    <i>
      <x v="2"/>
    </i>
    <i>
      <x v="3"/>
    </i>
    <i>
      <x v="4"/>
    </i>
    <i t="grand">
      <x/>
    </i>
  </rowItems>
  <colItems count="1">
    <i/>
  </colItems>
  <dataFields count="1">
    <dataField name="Average of Internship Score" fld="15" subtotal="average" baseField="16"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DB3145-2CA1-4113-AF7C-54C11878C2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7">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items count="3">
        <item x="1"/>
        <item x="0"/>
        <item t="default"/>
      </items>
    </pivotField>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1">
        <item x="3"/>
        <item x="8"/>
        <item x="7"/>
        <item x="0"/>
        <item x="2"/>
        <item x="5"/>
        <item x="4"/>
        <item x="1"/>
        <item x="6"/>
        <item x="9"/>
        <item t="default"/>
      </items>
    </pivotField>
    <pivotField showAll="0"/>
    <pivotField showAll="0"/>
    <pivotField axis="axisCol" showAll="0">
      <items count="3">
        <item x="0"/>
        <item x="1"/>
        <item t="default"/>
      </items>
    </pivotField>
    <pivotField showAll="0"/>
    <pivotField showAll="0"/>
  </pivotFields>
  <rowFields count="1">
    <field x="3"/>
  </rowFields>
  <rowItems count="4">
    <i>
      <x/>
    </i>
    <i>
      <x v="1"/>
    </i>
    <i>
      <x v="2"/>
    </i>
    <i t="grand">
      <x/>
    </i>
  </rowItems>
  <colFields count="1">
    <field x="14"/>
  </colFields>
  <colItems count="3">
    <i>
      <x/>
    </i>
    <i>
      <x v="1"/>
    </i>
    <i t="grand">
      <x/>
    </i>
  </colItems>
  <dataFields count="1">
    <dataField name="Count of Student ID" fld="0" subtotal="count" baseField="0" baseItem="0"/>
  </dataFields>
  <formats count="2">
    <format dxfId="3">
      <pivotArea outline="0" collapsedLevelsAreSubtotals="1" fieldPosition="0">
        <references count="1">
          <reference field="14" count="1" selected="0">
            <x v="0"/>
          </reference>
        </references>
      </pivotArea>
    </format>
    <format dxfId="2">
      <pivotArea dataOnly="0" labelOnly="1" fieldPosition="0">
        <references count="1">
          <reference field="14" count="1">
            <x v="0"/>
          </reference>
        </references>
      </pivotArea>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53B7D0-E5BB-4CB6-B02A-DDD5E13A61FA}" sourceName="Gender">
  <pivotTables>
    <pivotTable tabId="6" name="PivotTable1"/>
    <pivotTable tabId="6" name="PivotTable2"/>
    <pivotTable tabId="6" name="PivotTable3"/>
    <pivotTable tabId="6" name="PivotTable4"/>
    <pivotTable tabId="6" name="PivotTable5"/>
  </pivotTables>
  <data>
    <tabular pivotCacheId="1825324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A99403-9703-4D43-ABF2-5454C026ACFA}" sourceName="Department">
  <pivotTables>
    <pivotTable tabId="6" name="PivotTable1"/>
    <pivotTable tabId="6" name="PivotTable2"/>
    <pivotTable tabId="6" name="PivotTable3"/>
    <pivotTable tabId="6" name="PivotTable4"/>
    <pivotTable tabId="6" name="PivotTable5"/>
  </pivotTables>
  <data>
    <tabular pivotCacheId="18253241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AC2D2976-0AFB-4738-85B9-07166BCEB62D}" sourceName="Semester">
  <pivotTables>
    <pivotTable tabId="6" name="PivotTable1"/>
    <pivotTable tabId="6" name="PivotTable2"/>
    <pivotTable tabId="6" name="PivotTable3"/>
    <pivotTable tabId="6" name="PivotTable4"/>
    <pivotTable tabId="6" name="PivotTable5"/>
  </pivotTables>
  <data>
    <tabular pivotCacheId="182532418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3AD623-45D0-4BB9-94D7-D4289FDA991D}" sourceName="City">
  <pivotTables>
    <pivotTable tabId="6" name="PivotTable1"/>
    <pivotTable tabId="6" name="PivotTable2"/>
    <pivotTable tabId="6" name="PivotTable3"/>
    <pivotTable tabId="6" name="PivotTable4"/>
    <pivotTable tabId="6" name="PivotTable5"/>
  </pivotTables>
  <data>
    <tabular pivotCacheId="1825324188">
      <items count="10">
        <i x="3" s="1"/>
        <i x="8" s="1"/>
        <i x="7" s="1"/>
        <i x="0" s="1"/>
        <i x="2" s="1"/>
        <i x="5" s="1"/>
        <i x="4" s="1"/>
        <i x="1"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B93C07E-E547-4C5F-A55C-A4D1FF70D814}" cache="Slicer_Gender" caption="Gender" rowHeight="234950"/>
  <slicer name="Department" xr10:uid="{5559CBDD-04D1-47D5-8F31-AC48D220AE56}" cache="Slicer_Department" caption="Department" rowHeight="234950"/>
  <slicer name="Semester" xr10:uid="{3701E0AA-A341-4907-8DDA-D325F291772B}" cache="Slicer_Semester" caption="Semester" rowHeight="234950"/>
  <slicer name="City" xr10:uid="{FB47AE03-F6F1-468C-BD9E-DDF2DBEDB755}"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5A75B-1E64-4003-BB61-6D6706BDBCBE}" name="StudentData" displayName="StudentData" ref="A1:Q71" totalsRowShown="0" headerRowDxfId="6" headerRowBorderDxfId="5" tableBorderDxfId="4">
  <autoFilter ref="A1:Q71" xr:uid="{B8B5A75B-1E64-4003-BB61-6D6706BDBCBE}">
    <filterColumn colId="4">
      <filters>
        <filter val="Finance"/>
      </filters>
    </filterColumn>
  </autoFilter>
  <tableColumns count="17">
    <tableColumn id="1" xr3:uid="{1B3A4C99-9633-4C00-BFB9-C4053EE2FC6E}" name="Student ID"/>
    <tableColumn id="2" xr3:uid="{960B8784-2971-4DAF-85DD-EF53C24E0012}" name="Student Name"/>
    <tableColumn id="3" xr3:uid="{ABE7AFC9-4104-413C-8D4C-5A592C821784}" name="Gender"/>
    <tableColumn id="4" xr3:uid="{D2CFE1DD-BE3B-49ED-BFEE-C4D8CF14FA54}" name="Department"/>
    <tableColumn id="5" xr3:uid="{8E24E2F9-BB4D-4A23-8395-2234DE80751D}" name="Course Name"/>
    <tableColumn id="6" xr3:uid="{5BE53DE8-1DC3-46C1-ACFD-00ECA9DDE76D}" name="Semester"/>
    <tableColumn id="7" xr3:uid="{54CB871C-6FD3-41AF-8CAF-1115C4DB391C}" name="Attendance (%)"/>
    <tableColumn id="8" xr3:uid="{413681C1-5BDC-4642-B143-872EF9734383}" name="Internal Marks"/>
    <tableColumn id="9" xr3:uid="{2BC33390-497F-4C74-A487-1CE76E0060CD}" name="External Marks"/>
    <tableColumn id="10" xr3:uid="{202576EC-821C-4E3A-9DE3-AF9028D07A02}" name="Total Marks"/>
    <tableColumn id="11" xr3:uid="{8256E327-AB78-4F9D-995A-BEF7A480427B}" name="Grade"/>
    <tableColumn id="12" xr3:uid="{3B77AC0A-8DB4-45DB-B909-43E90B567C2C}" name="City"/>
    <tableColumn id="13" xr3:uid="{B7454DBA-5260-461D-B034-8E5EA033D0EA}" name="Admission Year"/>
    <tableColumn id="14" xr3:uid="{4C8BE452-BE0D-43BF-A77E-8E7F7D2F35B8}" name="Academic Year"/>
    <tableColumn id="15" xr3:uid="{D0D73F54-6513-42DD-A383-300F44333205}" name="Placement Status"/>
    <tableColumn id="16" xr3:uid="{3497CA21-4139-4E3C-B8F2-BD4C567BCDA2}" name="Internship Score"/>
    <tableColumn id="17" xr3:uid="{29E2E3F0-B971-46FC-8CB5-B3321AEBE41A}" name="Mentor Na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1B63D-E7B3-4115-A35D-F24421628ACF}">
  <dimension ref="A1:A3"/>
  <sheetViews>
    <sheetView workbookViewId="0">
      <selection activeCell="E2" sqref="E2"/>
    </sheetView>
  </sheetViews>
  <sheetFormatPr defaultRowHeight="14.4"/>
  <sheetData>
    <row r="1" spans="1:1">
      <c r="A1" s="1" t="s">
        <v>190</v>
      </c>
    </row>
    <row r="2" spans="1:1">
      <c r="A2" t="s">
        <v>191</v>
      </c>
    </row>
    <row r="3" spans="1:1">
      <c r="A3"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
  <sheetViews>
    <sheetView zoomScaleNormal="100" workbookViewId="0">
      <pane ySplit="1" topLeftCell="A2" activePane="bottomLeft" state="frozen"/>
      <selection pane="bottomLeft" sqref="A1:XFD1"/>
    </sheetView>
  </sheetViews>
  <sheetFormatPr defaultColWidth="9" defaultRowHeight="14.4"/>
  <cols>
    <col min="1" max="1" width="15.109375" bestFit="1" customWidth="1"/>
    <col min="2" max="2" width="18.5546875" bestFit="1" customWidth="1"/>
    <col min="3" max="3" width="12.6640625" bestFit="1" customWidth="1"/>
    <col min="4" max="4" width="16.5546875" bestFit="1" customWidth="1"/>
    <col min="5" max="5" width="17.5546875" bestFit="1" customWidth="1"/>
    <col min="6" max="6" width="14.33203125" bestFit="1" customWidth="1"/>
    <col min="7" max="7" width="19.44140625" bestFit="1" customWidth="1"/>
    <col min="8" max="8" width="18.6640625" bestFit="1" customWidth="1"/>
    <col min="9" max="9" width="19" bestFit="1" customWidth="1"/>
    <col min="10" max="10" width="16.109375" bestFit="1" customWidth="1"/>
    <col min="11" max="11" width="11.44140625" bestFit="1" customWidth="1"/>
    <col min="12" max="12" width="11.109375" bestFit="1" customWidth="1"/>
    <col min="13" max="13" width="19.44140625" customWidth="1"/>
    <col min="14" max="14" width="18.77734375" bestFit="1" customWidth="1"/>
    <col min="15" max="15" width="21" bestFit="1" customWidth="1"/>
    <col min="16" max="16" width="20.109375" bestFit="1" customWidth="1"/>
    <col min="17" max="17" width="18.21875" bestFit="1" customWidth="1"/>
  </cols>
  <sheetData>
    <row r="1" spans="1:17" s="4"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t="s">
        <v>17</v>
      </c>
      <c r="B2" t="s">
        <v>18</v>
      </c>
      <c r="C2" t="s">
        <v>19</v>
      </c>
      <c r="D2" t="s">
        <v>20</v>
      </c>
      <c r="E2" t="s">
        <v>21</v>
      </c>
      <c r="F2" t="s">
        <v>22</v>
      </c>
      <c r="G2">
        <v>91</v>
      </c>
      <c r="H2">
        <v>44</v>
      </c>
      <c r="I2">
        <v>33</v>
      </c>
      <c r="J2">
        <v>77</v>
      </c>
      <c r="K2" t="s">
        <v>23</v>
      </c>
      <c r="L2" t="s">
        <v>24</v>
      </c>
      <c r="M2">
        <v>2024</v>
      </c>
      <c r="N2" t="s">
        <v>25</v>
      </c>
      <c r="O2" t="s">
        <v>26</v>
      </c>
      <c r="P2">
        <v>8</v>
      </c>
      <c r="Q2" t="s">
        <v>27</v>
      </c>
    </row>
    <row r="3" spans="1:17">
      <c r="A3" t="s">
        <v>28</v>
      </c>
      <c r="B3" t="s">
        <v>29</v>
      </c>
      <c r="C3" t="s">
        <v>19</v>
      </c>
      <c r="D3" t="s">
        <v>30</v>
      </c>
      <c r="E3" t="s">
        <v>31</v>
      </c>
      <c r="F3" t="s">
        <v>32</v>
      </c>
      <c r="G3">
        <v>82</v>
      </c>
      <c r="H3">
        <v>41</v>
      </c>
      <c r="I3">
        <v>36</v>
      </c>
      <c r="J3">
        <v>77</v>
      </c>
      <c r="K3" t="s">
        <v>23</v>
      </c>
      <c r="L3" t="s">
        <v>33</v>
      </c>
      <c r="M3">
        <v>2024</v>
      </c>
      <c r="N3" t="s">
        <v>25</v>
      </c>
      <c r="O3" t="s">
        <v>34</v>
      </c>
      <c r="P3">
        <v>10</v>
      </c>
      <c r="Q3" t="s">
        <v>35</v>
      </c>
    </row>
    <row r="4" spans="1:17">
      <c r="A4" t="s">
        <v>36</v>
      </c>
      <c r="B4" t="s">
        <v>37</v>
      </c>
      <c r="C4" t="s">
        <v>38</v>
      </c>
      <c r="D4" t="s">
        <v>39</v>
      </c>
      <c r="E4" t="s">
        <v>40</v>
      </c>
      <c r="F4" t="s">
        <v>41</v>
      </c>
      <c r="G4">
        <v>73</v>
      </c>
      <c r="H4">
        <v>44</v>
      </c>
      <c r="I4">
        <v>37</v>
      </c>
      <c r="J4">
        <v>81</v>
      </c>
      <c r="K4" t="s">
        <v>42</v>
      </c>
      <c r="L4" t="s">
        <v>43</v>
      </c>
      <c r="M4">
        <v>2024</v>
      </c>
      <c r="N4" t="s">
        <v>25</v>
      </c>
      <c r="O4" t="s">
        <v>34</v>
      </c>
      <c r="P4">
        <v>9</v>
      </c>
      <c r="Q4" t="s">
        <v>44</v>
      </c>
    </row>
    <row r="5" spans="1:17" ht="12.6" customHeight="1">
      <c r="A5" t="s">
        <v>45</v>
      </c>
      <c r="B5" t="s">
        <v>46</v>
      </c>
      <c r="C5" t="s">
        <v>19</v>
      </c>
      <c r="D5" t="s">
        <v>20</v>
      </c>
      <c r="E5" t="s">
        <v>47</v>
      </c>
      <c r="F5" t="s">
        <v>48</v>
      </c>
      <c r="G5">
        <v>79</v>
      </c>
      <c r="H5">
        <v>34</v>
      </c>
      <c r="I5">
        <v>45</v>
      </c>
      <c r="J5">
        <v>79</v>
      </c>
      <c r="K5" t="s">
        <v>23</v>
      </c>
      <c r="L5" t="s">
        <v>49</v>
      </c>
      <c r="M5">
        <v>2024</v>
      </c>
      <c r="N5" t="s">
        <v>25</v>
      </c>
      <c r="O5" t="s">
        <v>26</v>
      </c>
      <c r="P5">
        <v>6</v>
      </c>
      <c r="Q5" t="s">
        <v>27</v>
      </c>
    </row>
    <row r="6" spans="1:17">
      <c r="A6" t="s">
        <v>50</v>
      </c>
      <c r="B6" t="s">
        <v>51</v>
      </c>
      <c r="C6" t="s">
        <v>19</v>
      </c>
      <c r="D6" t="s">
        <v>30</v>
      </c>
      <c r="E6" t="s">
        <v>52</v>
      </c>
      <c r="F6" t="s">
        <v>41</v>
      </c>
      <c r="G6">
        <v>73</v>
      </c>
      <c r="H6">
        <v>38</v>
      </c>
      <c r="I6">
        <v>36</v>
      </c>
      <c r="J6">
        <v>74</v>
      </c>
      <c r="K6" t="s">
        <v>23</v>
      </c>
      <c r="L6" t="s">
        <v>24</v>
      </c>
      <c r="M6">
        <v>2024</v>
      </c>
      <c r="N6" t="s">
        <v>25</v>
      </c>
      <c r="O6" t="s">
        <v>34</v>
      </c>
      <c r="P6">
        <v>8</v>
      </c>
      <c r="Q6" t="s">
        <v>53</v>
      </c>
    </row>
    <row r="7" spans="1:17">
      <c r="A7" t="s">
        <v>54</v>
      </c>
      <c r="B7" t="s">
        <v>55</v>
      </c>
      <c r="C7" t="s">
        <v>38</v>
      </c>
      <c r="D7" t="s">
        <v>20</v>
      </c>
      <c r="E7" t="s">
        <v>21</v>
      </c>
      <c r="F7" t="s">
        <v>41</v>
      </c>
      <c r="G7">
        <v>76</v>
      </c>
      <c r="H7">
        <v>38</v>
      </c>
      <c r="I7">
        <v>37</v>
      </c>
      <c r="J7">
        <v>75</v>
      </c>
      <c r="K7" t="s">
        <v>23</v>
      </c>
      <c r="L7" t="s">
        <v>56</v>
      </c>
      <c r="M7">
        <v>2024</v>
      </c>
      <c r="N7" t="s">
        <v>25</v>
      </c>
      <c r="O7" t="s">
        <v>34</v>
      </c>
      <c r="P7">
        <v>6</v>
      </c>
      <c r="Q7" t="s">
        <v>44</v>
      </c>
    </row>
    <row r="8" spans="1:17">
      <c r="A8" t="s">
        <v>57</v>
      </c>
      <c r="B8" t="s">
        <v>58</v>
      </c>
      <c r="C8" t="s">
        <v>19</v>
      </c>
      <c r="D8" t="s">
        <v>20</v>
      </c>
      <c r="E8" t="s">
        <v>59</v>
      </c>
      <c r="F8" t="s">
        <v>48</v>
      </c>
      <c r="G8">
        <v>89</v>
      </c>
      <c r="H8">
        <v>41</v>
      </c>
      <c r="I8">
        <v>49</v>
      </c>
      <c r="J8">
        <v>90</v>
      </c>
      <c r="K8" t="s">
        <v>60</v>
      </c>
      <c r="L8" t="s">
        <v>33</v>
      </c>
      <c r="M8">
        <v>2024</v>
      </c>
      <c r="N8" t="s">
        <v>25</v>
      </c>
      <c r="O8" t="s">
        <v>34</v>
      </c>
      <c r="P8">
        <v>6</v>
      </c>
      <c r="Q8" t="s">
        <v>35</v>
      </c>
    </row>
    <row r="9" spans="1:17">
      <c r="A9" t="s">
        <v>61</v>
      </c>
      <c r="B9" t="s">
        <v>62</v>
      </c>
      <c r="C9" t="s">
        <v>38</v>
      </c>
      <c r="D9" t="s">
        <v>20</v>
      </c>
      <c r="E9" t="s">
        <v>63</v>
      </c>
      <c r="F9" t="s">
        <v>48</v>
      </c>
      <c r="G9">
        <v>83</v>
      </c>
      <c r="H9">
        <v>38</v>
      </c>
      <c r="I9">
        <v>43</v>
      </c>
      <c r="J9">
        <v>81</v>
      </c>
      <c r="K9" t="s">
        <v>42</v>
      </c>
      <c r="L9" t="s">
        <v>24</v>
      </c>
      <c r="M9">
        <v>2024</v>
      </c>
      <c r="N9" t="s">
        <v>25</v>
      </c>
      <c r="O9" t="s">
        <v>34</v>
      </c>
      <c r="P9">
        <v>8</v>
      </c>
      <c r="Q9" t="s">
        <v>35</v>
      </c>
    </row>
    <row r="10" spans="1:17">
      <c r="A10" t="s">
        <v>64</v>
      </c>
      <c r="B10" t="s">
        <v>65</v>
      </c>
      <c r="C10" t="s">
        <v>38</v>
      </c>
      <c r="D10" t="s">
        <v>30</v>
      </c>
      <c r="E10" t="s">
        <v>31</v>
      </c>
      <c r="F10" t="s">
        <v>48</v>
      </c>
      <c r="G10">
        <v>81</v>
      </c>
      <c r="H10">
        <v>38</v>
      </c>
      <c r="I10">
        <v>50</v>
      </c>
      <c r="J10">
        <v>88</v>
      </c>
      <c r="K10" t="s">
        <v>42</v>
      </c>
      <c r="L10" t="s">
        <v>66</v>
      </c>
      <c r="M10">
        <v>2024</v>
      </c>
      <c r="N10" t="s">
        <v>25</v>
      </c>
      <c r="O10" t="s">
        <v>34</v>
      </c>
      <c r="P10">
        <v>7</v>
      </c>
      <c r="Q10" t="s">
        <v>44</v>
      </c>
    </row>
    <row r="11" spans="1:17">
      <c r="A11" t="s">
        <v>67</v>
      </c>
      <c r="B11" t="s">
        <v>68</v>
      </c>
      <c r="C11" t="s">
        <v>38</v>
      </c>
      <c r="D11" t="s">
        <v>39</v>
      </c>
      <c r="E11" t="s">
        <v>69</v>
      </c>
      <c r="F11" t="s">
        <v>32</v>
      </c>
      <c r="G11">
        <v>95</v>
      </c>
      <c r="H11">
        <v>37</v>
      </c>
      <c r="I11">
        <v>32</v>
      </c>
      <c r="J11">
        <v>69</v>
      </c>
      <c r="K11" t="s">
        <v>70</v>
      </c>
      <c r="L11" t="s">
        <v>71</v>
      </c>
      <c r="M11">
        <v>2024</v>
      </c>
      <c r="N11" t="s">
        <v>25</v>
      </c>
      <c r="O11" t="s">
        <v>26</v>
      </c>
      <c r="P11">
        <v>10</v>
      </c>
      <c r="Q11" t="s">
        <v>44</v>
      </c>
    </row>
    <row r="12" spans="1:17">
      <c r="A12" t="s">
        <v>72</v>
      </c>
      <c r="B12" t="s">
        <v>73</v>
      </c>
      <c r="C12" t="s">
        <v>19</v>
      </c>
      <c r="D12" t="s">
        <v>30</v>
      </c>
      <c r="E12" t="s">
        <v>74</v>
      </c>
      <c r="F12" t="s">
        <v>48</v>
      </c>
      <c r="G12">
        <v>94</v>
      </c>
      <c r="H12">
        <v>48</v>
      </c>
      <c r="I12">
        <v>40</v>
      </c>
      <c r="J12">
        <v>88</v>
      </c>
      <c r="K12" t="s">
        <v>42</v>
      </c>
      <c r="L12" t="s">
        <v>49</v>
      </c>
      <c r="M12">
        <v>2024</v>
      </c>
      <c r="N12" t="s">
        <v>25</v>
      </c>
      <c r="O12" t="s">
        <v>34</v>
      </c>
      <c r="P12">
        <v>8</v>
      </c>
      <c r="Q12" t="s">
        <v>44</v>
      </c>
    </row>
    <row r="13" spans="1:17">
      <c r="A13" t="s">
        <v>75</v>
      </c>
      <c r="B13" t="s">
        <v>76</v>
      </c>
      <c r="C13" t="s">
        <v>38</v>
      </c>
      <c r="D13" t="s">
        <v>39</v>
      </c>
      <c r="E13" t="s">
        <v>77</v>
      </c>
      <c r="F13" t="s">
        <v>41</v>
      </c>
      <c r="G13">
        <v>74</v>
      </c>
      <c r="H13">
        <v>48</v>
      </c>
      <c r="I13">
        <v>45</v>
      </c>
      <c r="J13">
        <v>93</v>
      </c>
      <c r="K13" t="s">
        <v>60</v>
      </c>
      <c r="L13" t="s">
        <v>66</v>
      </c>
      <c r="M13">
        <v>2024</v>
      </c>
      <c r="N13" t="s">
        <v>25</v>
      </c>
      <c r="O13" t="s">
        <v>26</v>
      </c>
      <c r="P13">
        <v>10</v>
      </c>
      <c r="Q13" t="s">
        <v>27</v>
      </c>
    </row>
    <row r="14" spans="1:17">
      <c r="A14" t="s">
        <v>78</v>
      </c>
      <c r="B14" t="s">
        <v>79</v>
      </c>
      <c r="C14" t="s">
        <v>19</v>
      </c>
      <c r="D14" t="s">
        <v>39</v>
      </c>
      <c r="E14" t="s">
        <v>40</v>
      </c>
      <c r="F14" t="s">
        <v>48</v>
      </c>
      <c r="G14">
        <v>95</v>
      </c>
      <c r="H14">
        <v>35</v>
      </c>
      <c r="I14">
        <v>45</v>
      </c>
      <c r="J14">
        <v>80</v>
      </c>
      <c r="K14" t="s">
        <v>42</v>
      </c>
      <c r="L14" t="s">
        <v>80</v>
      </c>
      <c r="M14">
        <v>2024</v>
      </c>
      <c r="N14" t="s">
        <v>25</v>
      </c>
      <c r="O14" t="s">
        <v>26</v>
      </c>
      <c r="P14">
        <v>7</v>
      </c>
      <c r="Q14" t="s">
        <v>44</v>
      </c>
    </row>
    <row r="15" spans="1:17">
      <c r="A15" t="s">
        <v>81</v>
      </c>
      <c r="B15" t="s">
        <v>18</v>
      </c>
      <c r="C15" t="s">
        <v>19</v>
      </c>
      <c r="D15" t="s">
        <v>39</v>
      </c>
      <c r="E15" t="s">
        <v>69</v>
      </c>
      <c r="F15" t="s">
        <v>32</v>
      </c>
      <c r="G15">
        <v>75</v>
      </c>
      <c r="H15">
        <v>40</v>
      </c>
      <c r="I15">
        <v>41</v>
      </c>
      <c r="J15">
        <v>81</v>
      </c>
      <c r="K15" t="s">
        <v>42</v>
      </c>
      <c r="L15" t="s">
        <v>43</v>
      </c>
      <c r="M15">
        <v>2024</v>
      </c>
      <c r="N15" t="s">
        <v>25</v>
      </c>
      <c r="O15" t="s">
        <v>34</v>
      </c>
      <c r="P15">
        <v>9</v>
      </c>
      <c r="Q15" t="s">
        <v>35</v>
      </c>
    </row>
    <row r="16" spans="1:17">
      <c r="A16" t="s">
        <v>82</v>
      </c>
      <c r="B16" t="s">
        <v>83</v>
      </c>
      <c r="C16" t="s">
        <v>19</v>
      </c>
      <c r="D16" t="s">
        <v>30</v>
      </c>
      <c r="E16" t="s">
        <v>84</v>
      </c>
      <c r="F16" t="s">
        <v>32</v>
      </c>
      <c r="G16">
        <v>91</v>
      </c>
      <c r="H16">
        <v>35</v>
      </c>
      <c r="I16">
        <v>37</v>
      </c>
      <c r="J16">
        <v>72</v>
      </c>
      <c r="K16" t="s">
        <v>23</v>
      </c>
      <c r="L16" t="s">
        <v>56</v>
      </c>
      <c r="M16">
        <v>2024</v>
      </c>
      <c r="N16" t="s">
        <v>25</v>
      </c>
      <c r="O16" t="s">
        <v>26</v>
      </c>
      <c r="P16">
        <v>9</v>
      </c>
      <c r="Q16" t="s">
        <v>44</v>
      </c>
    </row>
    <row r="17" spans="1:17">
      <c r="A17" t="s">
        <v>85</v>
      </c>
      <c r="B17" t="s">
        <v>86</v>
      </c>
      <c r="C17" t="s">
        <v>38</v>
      </c>
      <c r="D17" t="s">
        <v>30</v>
      </c>
      <c r="E17" t="s">
        <v>74</v>
      </c>
      <c r="F17" t="s">
        <v>22</v>
      </c>
      <c r="G17">
        <v>81</v>
      </c>
      <c r="H17">
        <v>42</v>
      </c>
      <c r="I17">
        <v>34</v>
      </c>
      <c r="J17">
        <v>76</v>
      </c>
      <c r="K17" t="s">
        <v>23</v>
      </c>
      <c r="L17" t="s">
        <v>66</v>
      </c>
      <c r="M17">
        <v>2024</v>
      </c>
      <c r="N17" t="s">
        <v>25</v>
      </c>
      <c r="O17" t="s">
        <v>26</v>
      </c>
      <c r="P17">
        <v>10</v>
      </c>
      <c r="Q17" t="s">
        <v>53</v>
      </c>
    </row>
    <row r="18" spans="1:17">
      <c r="A18" t="s">
        <v>87</v>
      </c>
      <c r="B18" t="s">
        <v>88</v>
      </c>
      <c r="C18" t="s">
        <v>19</v>
      </c>
      <c r="D18" t="s">
        <v>20</v>
      </c>
      <c r="E18" t="s">
        <v>21</v>
      </c>
      <c r="F18" t="s">
        <v>32</v>
      </c>
      <c r="G18">
        <v>89</v>
      </c>
      <c r="H18">
        <v>46</v>
      </c>
      <c r="I18">
        <v>36</v>
      </c>
      <c r="J18">
        <v>82</v>
      </c>
      <c r="K18" t="s">
        <v>42</v>
      </c>
      <c r="L18" t="s">
        <v>89</v>
      </c>
      <c r="M18">
        <v>2024</v>
      </c>
      <c r="N18" t="s">
        <v>25</v>
      </c>
      <c r="O18" t="s">
        <v>26</v>
      </c>
      <c r="P18">
        <v>9</v>
      </c>
      <c r="Q18" t="s">
        <v>90</v>
      </c>
    </row>
    <row r="19" spans="1:17">
      <c r="A19" t="s">
        <v>91</v>
      </c>
      <c r="B19" t="s">
        <v>92</v>
      </c>
      <c r="C19" t="s">
        <v>38</v>
      </c>
      <c r="D19" t="s">
        <v>39</v>
      </c>
      <c r="E19" t="s">
        <v>40</v>
      </c>
      <c r="F19" t="s">
        <v>22</v>
      </c>
      <c r="G19">
        <v>73</v>
      </c>
      <c r="H19">
        <v>47</v>
      </c>
      <c r="I19">
        <v>45</v>
      </c>
      <c r="J19">
        <v>92</v>
      </c>
      <c r="K19" t="s">
        <v>60</v>
      </c>
      <c r="L19" t="s">
        <v>24</v>
      </c>
      <c r="M19">
        <v>2024</v>
      </c>
      <c r="N19" t="s">
        <v>25</v>
      </c>
      <c r="O19" t="s">
        <v>26</v>
      </c>
      <c r="P19">
        <v>7</v>
      </c>
      <c r="Q19" t="s">
        <v>90</v>
      </c>
    </row>
    <row r="20" spans="1:17">
      <c r="A20" t="s">
        <v>93</v>
      </c>
      <c r="B20" t="s">
        <v>94</v>
      </c>
      <c r="C20" t="s">
        <v>38</v>
      </c>
      <c r="D20" t="s">
        <v>20</v>
      </c>
      <c r="E20" t="s">
        <v>47</v>
      </c>
      <c r="F20" t="s">
        <v>48</v>
      </c>
      <c r="G20">
        <v>76</v>
      </c>
      <c r="H20">
        <v>44</v>
      </c>
      <c r="I20">
        <v>37</v>
      </c>
      <c r="J20">
        <v>81</v>
      </c>
      <c r="K20" t="s">
        <v>42</v>
      </c>
      <c r="L20" t="s">
        <v>89</v>
      </c>
      <c r="M20">
        <v>2024</v>
      </c>
      <c r="N20" t="s">
        <v>25</v>
      </c>
      <c r="O20" t="s">
        <v>26</v>
      </c>
      <c r="P20">
        <v>9</v>
      </c>
      <c r="Q20" t="s">
        <v>27</v>
      </c>
    </row>
    <row r="21" spans="1:17">
      <c r="A21" t="s">
        <v>95</v>
      </c>
      <c r="B21" t="s">
        <v>96</v>
      </c>
      <c r="C21" t="s">
        <v>19</v>
      </c>
      <c r="D21" t="s">
        <v>20</v>
      </c>
      <c r="E21" t="s">
        <v>63</v>
      </c>
      <c r="F21" t="s">
        <v>32</v>
      </c>
      <c r="G21">
        <v>73</v>
      </c>
      <c r="H21">
        <v>36</v>
      </c>
      <c r="I21">
        <v>30</v>
      </c>
      <c r="J21">
        <v>66</v>
      </c>
      <c r="K21" t="s">
        <v>70</v>
      </c>
      <c r="L21" t="s">
        <v>49</v>
      </c>
      <c r="M21">
        <v>2024</v>
      </c>
      <c r="N21" t="s">
        <v>25</v>
      </c>
      <c r="O21" t="s">
        <v>34</v>
      </c>
      <c r="P21">
        <v>6</v>
      </c>
      <c r="Q21" t="s">
        <v>35</v>
      </c>
    </row>
    <row r="22" spans="1:17">
      <c r="A22" t="s">
        <v>97</v>
      </c>
      <c r="B22" t="s">
        <v>98</v>
      </c>
      <c r="C22" t="s">
        <v>38</v>
      </c>
      <c r="D22" t="s">
        <v>30</v>
      </c>
      <c r="E22" t="s">
        <v>31</v>
      </c>
      <c r="F22" t="s">
        <v>22</v>
      </c>
      <c r="G22">
        <v>87</v>
      </c>
      <c r="H22">
        <v>44</v>
      </c>
      <c r="I22">
        <v>40</v>
      </c>
      <c r="J22">
        <v>84</v>
      </c>
      <c r="K22" t="s">
        <v>42</v>
      </c>
      <c r="L22" t="s">
        <v>56</v>
      </c>
      <c r="M22">
        <v>2024</v>
      </c>
      <c r="N22" t="s">
        <v>25</v>
      </c>
      <c r="O22" t="s">
        <v>26</v>
      </c>
      <c r="P22">
        <v>9</v>
      </c>
      <c r="Q22" t="s">
        <v>53</v>
      </c>
    </row>
    <row r="23" spans="1:17">
      <c r="A23" t="s">
        <v>99</v>
      </c>
      <c r="B23" t="s">
        <v>100</v>
      </c>
      <c r="C23" t="s">
        <v>38</v>
      </c>
      <c r="D23" t="s">
        <v>30</v>
      </c>
      <c r="E23" t="s">
        <v>31</v>
      </c>
      <c r="F23" t="s">
        <v>32</v>
      </c>
      <c r="G23">
        <v>80</v>
      </c>
      <c r="H23">
        <v>37</v>
      </c>
      <c r="I23">
        <v>31</v>
      </c>
      <c r="J23">
        <v>68</v>
      </c>
      <c r="K23" t="s">
        <v>70</v>
      </c>
      <c r="L23" t="s">
        <v>66</v>
      </c>
      <c r="M23">
        <v>2024</v>
      </c>
      <c r="N23" t="s">
        <v>25</v>
      </c>
      <c r="O23" t="s">
        <v>34</v>
      </c>
      <c r="P23">
        <v>8</v>
      </c>
      <c r="Q23" t="s">
        <v>35</v>
      </c>
    </row>
    <row r="24" spans="1:17">
      <c r="A24" t="s">
        <v>101</v>
      </c>
      <c r="B24" t="s">
        <v>102</v>
      </c>
      <c r="C24" t="s">
        <v>38</v>
      </c>
      <c r="D24" t="s">
        <v>39</v>
      </c>
      <c r="E24" t="s">
        <v>47</v>
      </c>
      <c r="F24" t="s">
        <v>41</v>
      </c>
      <c r="G24">
        <v>75</v>
      </c>
      <c r="H24">
        <v>37</v>
      </c>
      <c r="I24">
        <v>36</v>
      </c>
      <c r="J24">
        <v>73</v>
      </c>
      <c r="K24" t="s">
        <v>23</v>
      </c>
      <c r="L24" t="s">
        <v>71</v>
      </c>
      <c r="M24">
        <v>2024</v>
      </c>
      <c r="N24" t="s">
        <v>25</v>
      </c>
      <c r="O24" t="s">
        <v>34</v>
      </c>
      <c r="P24">
        <v>7</v>
      </c>
      <c r="Q24" t="s">
        <v>53</v>
      </c>
    </row>
    <row r="25" spans="1:17">
      <c r="A25" t="s">
        <v>103</v>
      </c>
      <c r="B25" t="s">
        <v>104</v>
      </c>
      <c r="C25" t="s">
        <v>19</v>
      </c>
      <c r="D25" t="s">
        <v>30</v>
      </c>
      <c r="E25" t="s">
        <v>31</v>
      </c>
      <c r="F25" t="s">
        <v>41</v>
      </c>
      <c r="G25">
        <v>98</v>
      </c>
      <c r="H25">
        <v>41</v>
      </c>
      <c r="I25">
        <v>47</v>
      </c>
      <c r="J25">
        <v>88</v>
      </c>
      <c r="K25" t="s">
        <v>42</v>
      </c>
      <c r="L25" t="s">
        <v>89</v>
      </c>
      <c r="M25">
        <v>2024</v>
      </c>
      <c r="N25" t="s">
        <v>25</v>
      </c>
      <c r="O25" t="s">
        <v>34</v>
      </c>
      <c r="P25">
        <v>8</v>
      </c>
      <c r="Q25" t="s">
        <v>90</v>
      </c>
    </row>
    <row r="26" spans="1:17">
      <c r="A26" t="s">
        <v>105</v>
      </c>
      <c r="B26" t="s">
        <v>106</v>
      </c>
      <c r="C26" t="s">
        <v>38</v>
      </c>
      <c r="D26" t="s">
        <v>20</v>
      </c>
      <c r="E26" t="s">
        <v>21</v>
      </c>
      <c r="F26" t="s">
        <v>22</v>
      </c>
      <c r="G26">
        <v>83</v>
      </c>
      <c r="H26">
        <v>41</v>
      </c>
      <c r="I26">
        <v>42</v>
      </c>
      <c r="J26">
        <v>83</v>
      </c>
      <c r="K26" t="s">
        <v>42</v>
      </c>
      <c r="L26" t="s">
        <v>24</v>
      </c>
      <c r="M26">
        <v>2024</v>
      </c>
      <c r="N26" t="s">
        <v>25</v>
      </c>
      <c r="O26" t="s">
        <v>26</v>
      </c>
      <c r="P26">
        <v>10</v>
      </c>
      <c r="Q26" t="s">
        <v>35</v>
      </c>
    </row>
    <row r="27" spans="1:17">
      <c r="A27" t="s">
        <v>107</v>
      </c>
      <c r="B27" t="s">
        <v>58</v>
      </c>
      <c r="C27" t="s">
        <v>19</v>
      </c>
      <c r="D27" t="s">
        <v>20</v>
      </c>
      <c r="E27" t="s">
        <v>63</v>
      </c>
      <c r="F27" t="s">
        <v>41</v>
      </c>
      <c r="G27">
        <v>84</v>
      </c>
      <c r="H27">
        <v>37</v>
      </c>
      <c r="I27">
        <v>50</v>
      </c>
      <c r="J27">
        <v>87</v>
      </c>
      <c r="K27" t="s">
        <v>42</v>
      </c>
      <c r="L27" t="s">
        <v>71</v>
      </c>
      <c r="M27">
        <v>2024</v>
      </c>
      <c r="N27" t="s">
        <v>25</v>
      </c>
      <c r="O27" t="s">
        <v>34</v>
      </c>
      <c r="P27">
        <v>8</v>
      </c>
      <c r="Q27" t="s">
        <v>44</v>
      </c>
    </row>
    <row r="28" spans="1:17">
      <c r="A28" t="s">
        <v>108</v>
      </c>
      <c r="B28" t="s">
        <v>109</v>
      </c>
      <c r="C28" t="s">
        <v>19</v>
      </c>
      <c r="D28" t="s">
        <v>30</v>
      </c>
      <c r="E28" t="s">
        <v>74</v>
      </c>
      <c r="F28" t="s">
        <v>48</v>
      </c>
      <c r="G28">
        <v>96</v>
      </c>
      <c r="H28">
        <v>48</v>
      </c>
      <c r="I28">
        <v>34</v>
      </c>
      <c r="J28">
        <v>82</v>
      </c>
      <c r="K28" t="s">
        <v>42</v>
      </c>
      <c r="L28" t="s">
        <v>49</v>
      </c>
      <c r="M28">
        <v>2024</v>
      </c>
      <c r="N28" t="s">
        <v>25</v>
      </c>
      <c r="O28" t="s">
        <v>34</v>
      </c>
      <c r="P28">
        <v>10</v>
      </c>
      <c r="Q28" t="s">
        <v>44</v>
      </c>
    </row>
    <row r="29" spans="1:17">
      <c r="A29" t="s">
        <v>110</v>
      </c>
      <c r="B29" t="s">
        <v>111</v>
      </c>
      <c r="C29" t="s">
        <v>38</v>
      </c>
      <c r="D29" t="s">
        <v>20</v>
      </c>
      <c r="E29" t="s">
        <v>47</v>
      </c>
      <c r="F29" t="s">
        <v>22</v>
      </c>
      <c r="G29">
        <v>86</v>
      </c>
      <c r="H29">
        <v>34</v>
      </c>
      <c r="I29">
        <v>41</v>
      </c>
      <c r="J29">
        <v>75</v>
      </c>
      <c r="K29" t="s">
        <v>23</v>
      </c>
      <c r="L29" t="s">
        <v>66</v>
      </c>
      <c r="M29">
        <v>2024</v>
      </c>
      <c r="N29" t="s">
        <v>25</v>
      </c>
      <c r="O29" t="s">
        <v>26</v>
      </c>
      <c r="P29">
        <v>9</v>
      </c>
      <c r="Q29" t="s">
        <v>27</v>
      </c>
    </row>
    <row r="30" spans="1:17">
      <c r="A30" t="s">
        <v>112</v>
      </c>
      <c r="B30" t="s">
        <v>113</v>
      </c>
      <c r="C30" t="s">
        <v>19</v>
      </c>
      <c r="D30" t="s">
        <v>30</v>
      </c>
      <c r="E30" t="s">
        <v>31</v>
      </c>
      <c r="F30" t="s">
        <v>48</v>
      </c>
      <c r="G30">
        <v>78</v>
      </c>
      <c r="H30">
        <v>44</v>
      </c>
      <c r="I30">
        <v>36</v>
      </c>
      <c r="J30">
        <v>80</v>
      </c>
      <c r="K30" t="s">
        <v>42</v>
      </c>
      <c r="L30" t="s">
        <v>56</v>
      </c>
      <c r="M30">
        <v>2024</v>
      </c>
      <c r="N30" t="s">
        <v>25</v>
      </c>
      <c r="O30" t="s">
        <v>26</v>
      </c>
      <c r="P30">
        <v>6</v>
      </c>
      <c r="Q30" t="s">
        <v>90</v>
      </c>
    </row>
    <row r="31" spans="1:17">
      <c r="A31" t="s">
        <v>114</v>
      </c>
      <c r="B31" t="s">
        <v>115</v>
      </c>
      <c r="C31" t="s">
        <v>19</v>
      </c>
      <c r="D31" t="s">
        <v>30</v>
      </c>
      <c r="E31" t="s">
        <v>31</v>
      </c>
      <c r="F31" t="s">
        <v>32</v>
      </c>
      <c r="G31">
        <v>79</v>
      </c>
      <c r="H31">
        <v>30</v>
      </c>
      <c r="I31">
        <v>37</v>
      </c>
      <c r="J31">
        <v>67</v>
      </c>
      <c r="K31" t="s">
        <v>70</v>
      </c>
      <c r="L31" t="s">
        <v>49</v>
      </c>
      <c r="M31">
        <v>2024</v>
      </c>
      <c r="N31" t="s">
        <v>25</v>
      </c>
      <c r="O31" t="s">
        <v>34</v>
      </c>
      <c r="P31">
        <v>10</v>
      </c>
      <c r="Q31" t="s">
        <v>35</v>
      </c>
    </row>
    <row r="32" spans="1:17">
      <c r="A32" t="s">
        <v>116</v>
      </c>
      <c r="B32" t="s">
        <v>117</v>
      </c>
      <c r="C32" t="s">
        <v>38</v>
      </c>
      <c r="D32" t="s">
        <v>39</v>
      </c>
      <c r="E32" t="s">
        <v>40</v>
      </c>
      <c r="F32" t="s">
        <v>41</v>
      </c>
      <c r="G32">
        <v>89</v>
      </c>
      <c r="H32">
        <v>37</v>
      </c>
      <c r="I32">
        <v>32</v>
      </c>
      <c r="J32">
        <v>69</v>
      </c>
      <c r="K32" t="s">
        <v>70</v>
      </c>
      <c r="L32" t="s">
        <v>33</v>
      </c>
      <c r="M32">
        <v>2024</v>
      </c>
      <c r="N32" t="s">
        <v>25</v>
      </c>
      <c r="O32" t="s">
        <v>26</v>
      </c>
      <c r="P32">
        <v>9</v>
      </c>
      <c r="Q32" t="s">
        <v>53</v>
      </c>
    </row>
    <row r="33" spans="1:17">
      <c r="A33" t="s">
        <v>118</v>
      </c>
      <c r="B33" t="s">
        <v>119</v>
      </c>
      <c r="C33" t="s">
        <v>38</v>
      </c>
      <c r="D33" t="s">
        <v>30</v>
      </c>
      <c r="E33" t="s">
        <v>52</v>
      </c>
      <c r="F33" t="s">
        <v>32</v>
      </c>
      <c r="G33">
        <v>77</v>
      </c>
      <c r="H33">
        <v>33</v>
      </c>
      <c r="I33">
        <v>34</v>
      </c>
      <c r="J33">
        <v>67</v>
      </c>
      <c r="K33" t="s">
        <v>70</v>
      </c>
      <c r="L33" t="s">
        <v>43</v>
      </c>
      <c r="M33">
        <v>2024</v>
      </c>
      <c r="N33" t="s">
        <v>25</v>
      </c>
      <c r="O33" t="s">
        <v>34</v>
      </c>
      <c r="P33">
        <v>7</v>
      </c>
      <c r="Q33" t="s">
        <v>90</v>
      </c>
    </row>
    <row r="34" spans="1:17">
      <c r="A34" t="s">
        <v>120</v>
      </c>
      <c r="B34" t="s">
        <v>121</v>
      </c>
      <c r="C34" t="s">
        <v>38</v>
      </c>
      <c r="D34" t="s">
        <v>30</v>
      </c>
      <c r="E34" t="s">
        <v>52</v>
      </c>
      <c r="F34" t="s">
        <v>32</v>
      </c>
      <c r="G34">
        <v>95</v>
      </c>
      <c r="H34">
        <v>42</v>
      </c>
      <c r="I34">
        <v>37</v>
      </c>
      <c r="J34">
        <v>79</v>
      </c>
      <c r="K34" t="s">
        <v>23</v>
      </c>
      <c r="L34" t="s">
        <v>66</v>
      </c>
      <c r="M34">
        <v>2024</v>
      </c>
      <c r="N34" t="s">
        <v>25</v>
      </c>
      <c r="O34" t="s">
        <v>34</v>
      </c>
      <c r="P34">
        <v>10</v>
      </c>
      <c r="Q34" t="s">
        <v>27</v>
      </c>
    </row>
    <row r="35" spans="1:17">
      <c r="A35" t="s">
        <v>122</v>
      </c>
      <c r="B35" t="s">
        <v>123</v>
      </c>
      <c r="C35" t="s">
        <v>38</v>
      </c>
      <c r="D35" t="s">
        <v>39</v>
      </c>
      <c r="E35" t="s">
        <v>47</v>
      </c>
      <c r="F35" t="s">
        <v>32</v>
      </c>
      <c r="G35">
        <v>92</v>
      </c>
      <c r="H35">
        <v>45</v>
      </c>
      <c r="I35">
        <v>46</v>
      </c>
      <c r="J35">
        <v>91</v>
      </c>
      <c r="K35" t="s">
        <v>60</v>
      </c>
      <c r="L35" t="s">
        <v>24</v>
      </c>
      <c r="M35">
        <v>2024</v>
      </c>
      <c r="N35" t="s">
        <v>25</v>
      </c>
      <c r="O35" t="s">
        <v>26</v>
      </c>
      <c r="P35">
        <v>7</v>
      </c>
      <c r="Q35" t="s">
        <v>35</v>
      </c>
    </row>
    <row r="36" spans="1:17">
      <c r="A36" t="s">
        <v>124</v>
      </c>
      <c r="B36" t="s">
        <v>125</v>
      </c>
      <c r="C36" t="s">
        <v>19</v>
      </c>
      <c r="D36" t="s">
        <v>30</v>
      </c>
      <c r="E36" t="s">
        <v>74</v>
      </c>
      <c r="F36" t="s">
        <v>41</v>
      </c>
      <c r="G36">
        <v>70</v>
      </c>
      <c r="H36">
        <v>38</v>
      </c>
      <c r="I36">
        <v>36</v>
      </c>
      <c r="J36">
        <v>74</v>
      </c>
      <c r="K36" t="s">
        <v>23</v>
      </c>
      <c r="L36" t="s">
        <v>24</v>
      </c>
      <c r="M36">
        <v>2024</v>
      </c>
      <c r="N36" t="s">
        <v>25</v>
      </c>
      <c r="O36" t="s">
        <v>26</v>
      </c>
      <c r="P36">
        <v>7</v>
      </c>
      <c r="Q36" t="s">
        <v>90</v>
      </c>
    </row>
    <row r="37" spans="1:17">
      <c r="A37" t="s">
        <v>126</v>
      </c>
      <c r="B37" t="s">
        <v>127</v>
      </c>
      <c r="C37" t="s">
        <v>38</v>
      </c>
      <c r="D37" t="s">
        <v>20</v>
      </c>
      <c r="E37" t="s">
        <v>47</v>
      </c>
      <c r="F37" t="s">
        <v>41</v>
      </c>
      <c r="G37">
        <v>89</v>
      </c>
      <c r="H37">
        <v>38</v>
      </c>
      <c r="I37">
        <v>36</v>
      </c>
      <c r="J37">
        <v>74</v>
      </c>
      <c r="K37" t="s">
        <v>23</v>
      </c>
      <c r="L37" t="s">
        <v>89</v>
      </c>
      <c r="M37">
        <v>2024</v>
      </c>
      <c r="N37" t="s">
        <v>25</v>
      </c>
      <c r="O37" t="s">
        <v>26</v>
      </c>
      <c r="P37">
        <v>8</v>
      </c>
      <c r="Q37" t="s">
        <v>90</v>
      </c>
    </row>
    <row r="38" spans="1:17">
      <c r="A38" t="s">
        <v>128</v>
      </c>
      <c r="B38" t="s">
        <v>129</v>
      </c>
      <c r="C38" t="s">
        <v>38</v>
      </c>
      <c r="D38" t="s">
        <v>39</v>
      </c>
      <c r="E38" t="s">
        <v>77</v>
      </c>
      <c r="F38" t="s">
        <v>22</v>
      </c>
      <c r="G38">
        <v>77</v>
      </c>
      <c r="H38">
        <v>46</v>
      </c>
      <c r="I38">
        <v>33</v>
      </c>
      <c r="J38">
        <v>79</v>
      </c>
      <c r="K38" t="s">
        <v>23</v>
      </c>
      <c r="L38" t="s">
        <v>71</v>
      </c>
      <c r="M38">
        <v>2024</v>
      </c>
      <c r="N38" t="s">
        <v>25</v>
      </c>
      <c r="O38" t="s">
        <v>26</v>
      </c>
      <c r="P38">
        <v>9</v>
      </c>
      <c r="Q38" t="s">
        <v>53</v>
      </c>
    </row>
    <row r="39" spans="1:17">
      <c r="A39" t="s">
        <v>130</v>
      </c>
      <c r="B39" t="s">
        <v>131</v>
      </c>
      <c r="C39" t="s">
        <v>38</v>
      </c>
      <c r="D39" t="s">
        <v>20</v>
      </c>
      <c r="E39" t="s">
        <v>59</v>
      </c>
      <c r="F39" t="s">
        <v>41</v>
      </c>
      <c r="G39">
        <v>77</v>
      </c>
      <c r="H39">
        <v>39</v>
      </c>
      <c r="I39">
        <v>32</v>
      </c>
      <c r="J39">
        <v>71</v>
      </c>
      <c r="K39" t="s">
        <v>23</v>
      </c>
      <c r="L39" t="s">
        <v>66</v>
      </c>
      <c r="M39">
        <v>2024</v>
      </c>
      <c r="N39" t="s">
        <v>25</v>
      </c>
      <c r="O39" t="s">
        <v>26</v>
      </c>
      <c r="P39">
        <v>10</v>
      </c>
      <c r="Q39" t="s">
        <v>53</v>
      </c>
    </row>
    <row r="40" spans="1:17">
      <c r="A40" t="s">
        <v>132</v>
      </c>
      <c r="B40" t="s">
        <v>68</v>
      </c>
      <c r="C40" t="s">
        <v>38</v>
      </c>
      <c r="D40" t="s">
        <v>39</v>
      </c>
      <c r="E40" t="s">
        <v>47</v>
      </c>
      <c r="F40" t="s">
        <v>41</v>
      </c>
      <c r="G40">
        <v>74</v>
      </c>
      <c r="H40">
        <v>39</v>
      </c>
      <c r="I40">
        <v>48</v>
      </c>
      <c r="J40">
        <v>87</v>
      </c>
      <c r="K40" t="s">
        <v>42</v>
      </c>
      <c r="L40" t="s">
        <v>80</v>
      </c>
      <c r="M40">
        <v>2024</v>
      </c>
      <c r="N40" t="s">
        <v>25</v>
      </c>
      <c r="O40" t="s">
        <v>26</v>
      </c>
      <c r="P40">
        <v>9</v>
      </c>
      <c r="Q40" t="s">
        <v>35</v>
      </c>
    </row>
    <row r="41" spans="1:17">
      <c r="A41" t="s">
        <v>133</v>
      </c>
      <c r="B41" t="s">
        <v>134</v>
      </c>
      <c r="C41" t="s">
        <v>19</v>
      </c>
      <c r="D41" t="s">
        <v>39</v>
      </c>
      <c r="E41" t="s">
        <v>47</v>
      </c>
      <c r="F41" t="s">
        <v>48</v>
      </c>
      <c r="G41">
        <v>73</v>
      </c>
      <c r="H41">
        <v>33</v>
      </c>
      <c r="I41">
        <v>40</v>
      </c>
      <c r="J41">
        <v>73</v>
      </c>
      <c r="K41" t="s">
        <v>23</v>
      </c>
      <c r="L41" t="s">
        <v>71</v>
      </c>
      <c r="M41">
        <v>2024</v>
      </c>
      <c r="N41" t="s">
        <v>25</v>
      </c>
      <c r="O41" t="s">
        <v>26</v>
      </c>
      <c r="P41">
        <v>9</v>
      </c>
      <c r="Q41" t="s">
        <v>44</v>
      </c>
    </row>
    <row r="42" spans="1:17">
      <c r="A42" t="s">
        <v>135</v>
      </c>
      <c r="B42" t="s">
        <v>18</v>
      </c>
      <c r="C42" t="s">
        <v>19</v>
      </c>
      <c r="D42" t="s">
        <v>20</v>
      </c>
      <c r="E42" t="s">
        <v>21</v>
      </c>
      <c r="F42" t="s">
        <v>22</v>
      </c>
      <c r="G42">
        <v>83</v>
      </c>
      <c r="H42">
        <v>32</v>
      </c>
      <c r="I42">
        <v>40</v>
      </c>
      <c r="J42">
        <v>72</v>
      </c>
      <c r="K42" t="s">
        <v>23</v>
      </c>
      <c r="L42" t="s">
        <v>43</v>
      </c>
      <c r="M42">
        <v>2024</v>
      </c>
      <c r="N42" t="s">
        <v>25</v>
      </c>
      <c r="O42" t="s">
        <v>26</v>
      </c>
      <c r="P42">
        <v>10</v>
      </c>
      <c r="Q42" t="s">
        <v>44</v>
      </c>
    </row>
    <row r="43" spans="1:17">
      <c r="A43" t="s">
        <v>136</v>
      </c>
      <c r="B43" t="s">
        <v>125</v>
      </c>
      <c r="C43" t="s">
        <v>19</v>
      </c>
      <c r="D43" t="s">
        <v>30</v>
      </c>
      <c r="E43" t="s">
        <v>31</v>
      </c>
      <c r="F43" t="s">
        <v>48</v>
      </c>
      <c r="G43">
        <v>73</v>
      </c>
      <c r="H43">
        <v>48</v>
      </c>
      <c r="I43">
        <v>43</v>
      </c>
      <c r="J43">
        <v>91</v>
      </c>
      <c r="K43" t="s">
        <v>60</v>
      </c>
      <c r="L43" t="s">
        <v>66</v>
      </c>
      <c r="M43">
        <v>2024</v>
      </c>
      <c r="N43" t="s">
        <v>25</v>
      </c>
      <c r="O43" t="s">
        <v>26</v>
      </c>
      <c r="P43">
        <v>6</v>
      </c>
      <c r="Q43" t="s">
        <v>44</v>
      </c>
    </row>
    <row r="44" spans="1:17">
      <c r="A44" t="s">
        <v>137</v>
      </c>
      <c r="B44" t="s">
        <v>138</v>
      </c>
      <c r="C44" t="s">
        <v>38</v>
      </c>
      <c r="D44" t="s">
        <v>20</v>
      </c>
      <c r="E44" t="s">
        <v>63</v>
      </c>
      <c r="F44" t="s">
        <v>48</v>
      </c>
      <c r="G44">
        <v>84</v>
      </c>
      <c r="H44">
        <v>37</v>
      </c>
      <c r="I44">
        <v>31</v>
      </c>
      <c r="J44">
        <v>68</v>
      </c>
      <c r="K44" t="s">
        <v>70</v>
      </c>
      <c r="L44" t="s">
        <v>139</v>
      </c>
      <c r="M44">
        <v>2024</v>
      </c>
      <c r="N44" t="s">
        <v>25</v>
      </c>
      <c r="O44" t="s">
        <v>26</v>
      </c>
      <c r="P44">
        <v>8</v>
      </c>
      <c r="Q44" t="s">
        <v>27</v>
      </c>
    </row>
    <row r="45" spans="1:17">
      <c r="A45" t="s">
        <v>140</v>
      </c>
      <c r="B45" t="s">
        <v>141</v>
      </c>
      <c r="C45" t="s">
        <v>19</v>
      </c>
      <c r="D45" t="s">
        <v>20</v>
      </c>
      <c r="E45" t="s">
        <v>47</v>
      </c>
      <c r="F45" t="s">
        <v>41</v>
      </c>
      <c r="G45">
        <v>83</v>
      </c>
      <c r="H45">
        <v>42</v>
      </c>
      <c r="I45">
        <v>47</v>
      </c>
      <c r="J45">
        <v>89</v>
      </c>
      <c r="K45" t="s">
        <v>42</v>
      </c>
      <c r="L45" t="s">
        <v>33</v>
      </c>
      <c r="M45">
        <v>2024</v>
      </c>
      <c r="N45" t="s">
        <v>25</v>
      </c>
      <c r="O45" t="s">
        <v>34</v>
      </c>
      <c r="P45">
        <v>9</v>
      </c>
      <c r="Q45" t="s">
        <v>27</v>
      </c>
    </row>
    <row r="46" spans="1:17">
      <c r="A46" t="s">
        <v>142</v>
      </c>
      <c r="B46" t="s">
        <v>143</v>
      </c>
      <c r="C46" t="s">
        <v>19</v>
      </c>
      <c r="D46" t="s">
        <v>30</v>
      </c>
      <c r="E46" t="s">
        <v>31</v>
      </c>
      <c r="F46" t="s">
        <v>48</v>
      </c>
      <c r="G46">
        <v>79</v>
      </c>
      <c r="H46">
        <v>47</v>
      </c>
      <c r="I46">
        <v>39</v>
      </c>
      <c r="J46">
        <v>86</v>
      </c>
      <c r="K46" t="s">
        <v>42</v>
      </c>
      <c r="L46" t="s">
        <v>71</v>
      </c>
      <c r="M46">
        <v>2024</v>
      </c>
      <c r="N46" t="s">
        <v>25</v>
      </c>
      <c r="O46" t="s">
        <v>26</v>
      </c>
      <c r="P46">
        <v>9</v>
      </c>
      <c r="Q46" t="s">
        <v>90</v>
      </c>
    </row>
    <row r="47" spans="1:17">
      <c r="A47" t="s">
        <v>144</v>
      </c>
      <c r="B47" t="s">
        <v>145</v>
      </c>
      <c r="C47" t="s">
        <v>38</v>
      </c>
      <c r="D47" t="s">
        <v>39</v>
      </c>
      <c r="E47" t="s">
        <v>69</v>
      </c>
      <c r="F47" t="s">
        <v>22</v>
      </c>
      <c r="G47">
        <v>90</v>
      </c>
      <c r="H47">
        <v>30</v>
      </c>
      <c r="I47">
        <v>41</v>
      </c>
      <c r="J47">
        <v>71</v>
      </c>
      <c r="K47" t="s">
        <v>23</v>
      </c>
      <c r="L47" t="s">
        <v>139</v>
      </c>
      <c r="M47">
        <v>2024</v>
      </c>
      <c r="N47" t="s">
        <v>25</v>
      </c>
      <c r="O47" t="s">
        <v>34</v>
      </c>
      <c r="P47">
        <v>9</v>
      </c>
      <c r="Q47" t="s">
        <v>90</v>
      </c>
    </row>
    <row r="48" spans="1:17">
      <c r="A48" t="s">
        <v>146</v>
      </c>
      <c r="B48" t="s">
        <v>147</v>
      </c>
      <c r="C48" t="s">
        <v>38</v>
      </c>
      <c r="D48" t="s">
        <v>30</v>
      </c>
      <c r="E48" t="s">
        <v>52</v>
      </c>
      <c r="F48" t="s">
        <v>32</v>
      </c>
      <c r="G48">
        <v>72</v>
      </c>
      <c r="H48">
        <v>43</v>
      </c>
      <c r="I48">
        <v>32</v>
      </c>
      <c r="J48">
        <v>75</v>
      </c>
      <c r="K48" t="s">
        <v>23</v>
      </c>
      <c r="L48" t="s">
        <v>71</v>
      </c>
      <c r="M48">
        <v>2024</v>
      </c>
      <c r="N48" t="s">
        <v>25</v>
      </c>
      <c r="O48" t="s">
        <v>34</v>
      </c>
      <c r="P48">
        <v>8</v>
      </c>
      <c r="Q48" t="s">
        <v>44</v>
      </c>
    </row>
    <row r="49" spans="1:17">
      <c r="A49" t="s">
        <v>148</v>
      </c>
      <c r="B49" t="s">
        <v>131</v>
      </c>
      <c r="C49" t="s">
        <v>38</v>
      </c>
      <c r="D49" t="s">
        <v>39</v>
      </c>
      <c r="E49" t="s">
        <v>47</v>
      </c>
      <c r="F49" t="s">
        <v>22</v>
      </c>
      <c r="G49">
        <v>77</v>
      </c>
      <c r="H49">
        <v>40</v>
      </c>
      <c r="I49">
        <v>48</v>
      </c>
      <c r="J49">
        <v>88</v>
      </c>
      <c r="K49" t="s">
        <v>42</v>
      </c>
      <c r="L49" t="s">
        <v>80</v>
      </c>
      <c r="M49">
        <v>2024</v>
      </c>
      <c r="N49" t="s">
        <v>25</v>
      </c>
      <c r="O49" t="s">
        <v>26</v>
      </c>
      <c r="P49">
        <v>7</v>
      </c>
      <c r="Q49" t="s">
        <v>35</v>
      </c>
    </row>
    <row r="50" spans="1:17">
      <c r="A50" t="s">
        <v>149</v>
      </c>
      <c r="B50" t="s">
        <v>150</v>
      </c>
      <c r="C50" t="s">
        <v>19</v>
      </c>
      <c r="D50" t="s">
        <v>20</v>
      </c>
      <c r="E50" t="s">
        <v>47</v>
      </c>
      <c r="F50" t="s">
        <v>41</v>
      </c>
      <c r="G50">
        <v>82</v>
      </c>
      <c r="H50">
        <v>47</v>
      </c>
      <c r="I50">
        <v>43</v>
      </c>
      <c r="J50">
        <v>90</v>
      </c>
      <c r="K50" t="s">
        <v>60</v>
      </c>
      <c r="L50" t="s">
        <v>33</v>
      </c>
      <c r="M50">
        <v>2024</v>
      </c>
      <c r="N50" t="s">
        <v>25</v>
      </c>
      <c r="O50" t="s">
        <v>26</v>
      </c>
      <c r="P50">
        <v>7</v>
      </c>
      <c r="Q50" t="s">
        <v>35</v>
      </c>
    </row>
    <row r="51" spans="1:17">
      <c r="A51" t="s">
        <v>151</v>
      </c>
      <c r="B51" t="s">
        <v>152</v>
      </c>
      <c r="C51" t="s">
        <v>19</v>
      </c>
      <c r="D51" t="s">
        <v>30</v>
      </c>
      <c r="E51" t="s">
        <v>74</v>
      </c>
      <c r="F51" t="s">
        <v>48</v>
      </c>
      <c r="G51">
        <v>94</v>
      </c>
      <c r="H51">
        <v>33</v>
      </c>
      <c r="I51">
        <v>46</v>
      </c>
      <c r="J51">
        <v>79</v>
      </c>
      <c r="K51" t="s">
        <v>23</v>
      </c>
      <c r="L51" t="s">
        <v>80</v>
      </c>
      <c r="M51">
        <v>2024</v>
      </c>
      <c r="N51" t="s">
        <v>25</v>
      </c>
      <c r="O51" t="s">
        <v>34</v>
      </c>
      <c r="P51">
        <v>9</v>
      </c>
      <c r="Q51" t="s">
        <v>35</v>
      </c>
    </row>
    <row r="52" spans="1:17">
      <c r="A52" t="s">
        <v>153</v>
      </c>
      <c r="B52" t="s">
        <v>154</v>
      </c>
      <c r="C52" t="s">
        <v>38</v>
      </c>
      <c r="D52" t="s">
        <v>30</v>
      </c>
      <c r="E52" t="s">
        <v>84</v>
      </c>
      <c r="F52" t="s">
        <v>48</v>
      </c>
      <c r="G52">
        <v>92</v>
      </c>
      <c r="H52">
        <v>32</v>
      </c>
      <c r="I52">
        <v>50</v>
      </c>
      <c r="J52">
        <v>82</v>
      </c>
      <c r="K52" t="s">
        <v>42</v>
      </c>
      <c r="L52" t="s">
        <v>56</v>
      </c>
      <c r="M52">
        <v>2024</v>
      </c>
      <c r="N52" t="s">
        <v>25</v>
      </c>
      <c r="O52" t="s">
        <v>26</v>
      </c>
      <c r="P52">
        <v>7</v>
      </c>
      <c r="Q52" t="s">
        <v>44</v>
      </c>
    </row>
    <row r="53" spans="1:17">
      <c r="A53" t="s">
        <v>155</v>
      </c>
      <c r="B53" t="s">
        <v>156</v>
      </c>
      <c r="C53" t="s">
        <v>38</v>
      </c>
      <c r="D53" t="s">
        <v>39</v>
      </c>
      <c r="E53" t="s">
        <v>77</v>
      </c>
      <c r="F53" t="s">
        <v>22</v>
      </c>
      <c r="G53">
        <v>77</v>
      </c>
      <c r="H53">
        <v>43</v>
      </c>
      <c r="I53">
        <v>38</v>
      </c>
      <c r="J53">
        <v>81</v>
      </c>
      <c r="K53" t="s">
        <v>42</v>
      </c>
      <c r="L53" t="s">
        <v>33</v>
      </c>
      <c r="M53">
        <v>2024</v>
      </c>
      <c r="N53" t="s">
        <v>25</v>
      </c>
      <c r="O53" t="s">
        <v>26</v>
      </c>
      <c r="P53">
        <v>8</v>
      </c>
      <c r="Q53" t="s">
        <v>44</v>
      </c>
    </row>
    <row r="54" spans="1:17">
      <c r="A54" t="s">
        <v>157</v>
      </c>
      <c r="B54" t="s">
        <v>158</v>
      </c>
      <c r="C54" t="s">
        <v>19</v>
      </c>
      <c r="D54" t="s">
        <v>39</v>
      </c>
      <c r="E54" t="s">
        <v>47</v>
      </c>
      <c r="F54" t="s">
        <v>41</v>
      </c>
      <c r="G54">
        <v>81</v>
      </c>
      <c r="H54">
        <v>46</v>
      </c>
      <c r="I54">
        <v>36</v>
      </c>
      <c r="J54">
        <v>82</v>
      </c>
      <c r="K54" t="s">
        <v>42</v>
      </c>
      <c r="L54" t="s">
        <v>33</v>
      </c>
      <c r="M54">
        <v>2024</v>
      </c>
      <c r="N54" t="s">
        <v>25</v>
      </c>
      <c r="O54" t="s">
        <v>26</v>
      </c>
      <c r="P54">
        <v>7</v>
      </c>
      <c r="Q54" t="s">
        <v>53</v>
      </c>
    </row>
    <row r="55" spans="1:17">
      <c r="A55" t="s">
        <v>159</v>
      </c>
      <c r="B55" t="s">
        <v>154</v>
      </c>
      <c r="C55" t="s">
        <v>38</v>
      </c>
      <c r="D55" t="s">
        <v>30</v>
      </c>
      <c r="E55" t="s">
        <v>74</v>
      </c>
      <c r="F55" t="s">
        <v>32</v>
      </c>
      <c r="G55">
        <v>89</v>
      </c>
      <c r="H55">
        <v>47</v>
      </c>
      <c r="I55">
        <v>39</v>
      </c>
      <c r="J55">
        <v>86</v>
      </c>
      <c r="K55" t="s">
        <v>42</v>
      </c>
      <c r="L55" t="s">
        <v>24</v>
      </c>
      <c r="M55">
        <v>2024</v>
      </c>
      <c r="N55" t="s">
        <v>25</v>
      </c>
      <c r="O55" t="s">
        <v>34</v>
      </c>
      <c r="P55">
        <v>10</v>
      </c>
      <c r="Q55" t="s">
        <v>27</v>
      </c>
    </row>
    <row r="56" spans="1:17">
      <c r="A56" t="s">
        <v>160</v>
      </c>
      <c r="B56" t="s">
        <v>161</v>
      </c>
      <c r="C56" t="s">
        <v>38</v>
      </c>
      <c r="D56" t="s">
        <v>20</v>
      </c>
      <c r="E56" t="s">
        <v>63</v>
      </c>
      <c r="F56" t="s">
        <v>48</v>
      </c>
      <c r="G56">
        <v>98</v>
      </c>
      <c r="H56">
        <v>33</v>
      </c>
      <c r="I56">
        <v>33</v>
      </c>
      <c r="J56">
        <v>66</v>
      </c>
      <c r="K56" t="s">
        <v>70</v>
      </c>
      <c r="L56" t="s">
        <v>139</v>
      </c>
      <c r="M56">
        <v>2024</v>
      </c>
      <c r="N56" t="s">
        <v>25</v>
      </c>
      <c r="O56" t="s">
        <v>26</v>
      </c>
      <c r="P56">
        <v>8</v>
      </c>
      <c r="Q56" t="s">
        <v>35</v>
      </c>
    </row>
    <row r="57" spans="1:17">
      <c r="A57" t="s">
        <v>162</v>
      </c>
      <c r="B57" t="s">
        <v>163</v>
      </c>
      <c r="C57" t="s">
        <v>38</v>
      </c>
      <c r="D57" t="s">
        <v>20</v>
      </c>
      <c r="E57" t="s">
        <v>47</v>
      </c>
      <c r="F57" t="s">
        <v>32</v>
      </c>
      <c r="G57">
        <v>77</v>
      </c>
      <c r="H57">
        <v>35</v>
      </c>
      <c r="I57">
        <v>42</v>
      </c>
      <c r="J57">
        <v>77</v>
      </c>
      <c r="K57" t="s">
        <v>23</v>
      </c>
      <c r="L57" t="s">
        <v>71</v>
      </c>
      <c r="M57">
        <v>2024</v>
      </c>
      <c r="N57" t="s">
        <v>25</v>
      </c>
      <c r="O57" t="s">
        <v>26</v>
      </c>
      <c r="P57">
        <v>9</v>
      </c>
      <c r="Q57" t="s">
        <v>90</v>
      </c>
    </row>
    <row r="58" spans="1:17">
      <c r="A58" t="s">
        <v>164</v>
      </c>
      <c r="B58" t="s">
        <v>165</v>
      </c>
      <c r="C58" t="s">
        <v>19</v>
      </c>
      <c r="D58" t="s">
        <v>30</v>
      </c>
      <c r="E58" t="s">
        <v>74</v>
      </c>
      <c r="F58" t="s">
        <v>48</v>
      </c>
      <c r="G58">
        <v>99</v>
      </c>
      <c r="H58">
        <v>49</v>
      </c>
      <c r="I58">
        <v>34</v>
      </c>
      <c r="J58">
        <v>83</v>
      </c>
      <c r="K58" t="s">
        <v>42</v>
      </c>
      <c r="L58" t="s">
        <v>66</v>
      </c>
      <c r="M58">
        <v>2024</v>
      </c>
      <c r="N58" t="s">
        <v>25</v>
      </c>
      <c r="O58" t="s">
        <v>26</v>
      </c>
      <c r="P58">
        <v>6</v>
      </c>
      <c r="Q58" t="s">
        <v>44</v>
      </c>
    </row>
    <row r="59" spans="1:17">
      <c r="A59" t="s">
        <v>166</v>
      </c>
      <c r="B59" t="s">
        <v>167</v>
      </c>
      <c r="C59" t="s">
        <v>38</v>
      </c>
      <c r="D59" t="s">
        <v>39</v>
      </c>
      <c r="E59" t="s">
        <v>77</v>
      </c>
      <c r="F59" t="s">
        <v>32</v>
      </c>
      <c r="G59">
        <v>98</v>
      </c>
      <c r="H59">
        <v>38</v>
      </c>
      <c r="I59">
        <v>46</v>
      </c>
      <c r="J59">
        <v>84</v>
      </c>
      <c r="K59" t="s">
        <v>42</v>
      </c>
      <c r="L59" t="s">
        <v>49</v>
      </c>
      <c r="M59">
        <v>2024</v>
      </c>
      <c r="N59" t="s">
        <v>25</v>
      </c>
      <c r="O59" t="s">
        <v>26</v>
      </c>
      <c r="P59">
        <v>10</v>
      </c>
      <c r="Q59" t="s">
        <v>44</v>
      </c>
    </row>
    <row r="60" spans="1:17">
      <c r="A60" t="s">
        <v>168</v>
      </c>
      <c r="B60" t="s">
        <v>169</v>
      </c>
      <c r="C60" t="s">
        <v>38</v>
      </c>
      <c r="D60" t="s">
        <v>20</v>
      </c>
      <c r="E60" t="s">
        <v>21</v>
      </c>
      <c r="F60" t="s">
        <v>32</v>
      </c>
      <c r="G60">
        <v>93</v>
      </c>
      <c r="H60">
        <v>47</v>
      </c>
      <c r="I60">
        <v>43</v>
      </c>
      <c r="J60">
        <v>90</v>
      </c>
      <c r="K60" t="s">
        <v>60</v>
      </c>
      <c r="L60" t="s">
        <v>71</v>
      </c>
      <c r="M60">
        <v>2024</v>
      </c>
      <c r="N60" t="s">
        <v>25</v>
      </c>
      <c r="O60" t="s">
        <v>34</v>
      </c>
      <c r="P60">
        <v>10</v>
      </c>
      <c r="Q60" t="s">
        <v>35</v>
      </c>
    </row>
    <row r="61" spans="1:17">
      <c r="A61" t="s">
        <v>170</v>
      </c>
      <c r="B61" t="s">
        <v>171</v>
      </c>
      <c r="C61" t="s">
        <v>19</v>
      </c>
      <c r="D61" t="s">
        <v>39</v>
      </c>
      <c r="E61" t="s">
        <v>77</v>
      </c>
      <c r="F61" t="s">
        <v>22</v>
      </c>
      <c r="G61">
        <v>95</v>
      </c>
      <c r="H61">
        <v>43</v>
      </c>
      <c r="I61">
        <v>41</v>
      </c>
      <c r="J61">
        <v>84</v>
      </c>
      <c r="K61" t="s">
        <v>42</v>
      </c>
      <c r="L61" t="s">
        <v>139</v>
      </c>
      <c r="M61">
        <v>2024</v>
      </c>
      <c r="N61" t="s">
        <v>25</v>
      </c>
      <c r="O61" t="s">
        <v>34</v>
      </c>
      <c r="P61">
        <v>6</v>
      </c>
      <c r="Q61" t="s">
        <v>90</v>
      </c>
    </row>
    <row r="62" spans="1:17">
      <c r="A62" t="s">
        <v>172</v>
      </c>
      <c r="B62" t="s">
        <v>173</v>
      </c>
      <c r="C62" t="s">
        <v>38</v>
      </c>
      <c r="D62" t="s">
        <v>39</v>
      </c>
      <c r="E62" t="s">
        <v>77</v>
      </c>
      <c r="F62" t="s">
        <v>32</v>
      </c>
      <c r="G62">
        <v>89</v>
      </c>
      <c r="H62">
        <v>35</v>
      </c>
      <c r="I62">
        <v>42</v>
      </c>
      <c r="J62">
        <v>77</v>
      </c>
      <c r="K62" t="s">
        <v>23</v>
      </c>
      <c r="L62" t="s">
        <v>56</v>
      </c>
      <c r="M62">
        <v>2024</v>
      </c>
      <c r="N62" t="s">
        <v>25</v>
      </c>
      <c r="O62" t="s">
        <v>34</v>
      </c>
      <c r="P62">
        <v>6</v>
      </c>
      <c r="Q62" t="s">
        <v>35</v>
      </c>
    </row>
    <row r="63" spans="1:17">
      <c r="A63" t="s">
        <v>174</v>
      </c>
      <c r="B63" t="s">
        <v>175</v>
      </c>
      <c r="C63" t="s">
        <v>38</v>
      </c>
      <c r="D63" t="s">
        <v>30</v>
      </c>
      <c r="E63" t="s">
        <v>74</v>
      </c>
      <c r="F63" t="s">
        <v>48</v>
      </c>
      <c r="G63">
        <v>89</v>
      </c>
      <c r="H63">
        <v>31</v>
      </c>
      <c r="I63">
        <v>38</v>
      </c>
      <c r="J63">
        <v>69</v>
      </c>
      <c r="K63" t="s">
        <v>70</v>
      </c>
      <c r="L63" t="s">
        <v>56</v>
      </c>
      <c r="M63">
        <v>2024</v>
      </c>
      <c r="N63" t="s">
        <v>25</v>
      </c>
      <c r="O63" t="s">
        <v>34</v>
      </c>
      <c r="P63">
        <v>6</v>
      </c>
      <c r="Q63" t="s">
        <v>90</v>
      </c>
    </row>
    <row r="64" spans="1:17">
      <c r="A64" t="s">
        <v>176</v>
      </c>
      <c r="B64" t="s">
        <v>177</v>
      </c>
      <c r="C64" t="s">
        <v>19</v>
      </c>
      <c r="D64" t="s">
        <v>30</v>
      </c>
      <c r="E64" t="s">
        <v>31</v>
      </c>
      <c r="F64" t="s">
        <v>41</v>
      </c>
      <c r="G64">
        <v>99</v>
      </c>
      <c r="H64">
        <v>33</v>
      </c>
      <c r="I64">
        <v>34</v>
      </c>
      <c r="J64">
        <v>67</v>
      </c>
      <c r="K64" t="s">
        <v>70</v>
      </c>
      <c r="L64" t="s">
        <v>66</v>
      </c>
      <c r="M64">
        <v>2024</v>
      </c>
      <c r="N64" t="s">
        <v>25</v>
      </c>
      <c r="O64" t="s">
        <v>26</v>
      </c>
      <c r="P64">
        <v>6</v>
      </c>
      <c r="Q64" t="s">
        <v>90</v>
      </c>
    </row>
    <row r="65" spans="1:17">
      <c r="A65" t="s">
        <v>178</v>
      </c>
      <c r="B65" t="s">
        <v>37</v>
      </c>
      <c r="C65" t="s">
        <v>38</v>
      </c>
      <c r="D65" t="s">
        <v>30</v>
      </c>
      <c r="E65" t="s">
        <v>52</v>
      </c>
      <c r="F65" t="s">
        <v>22</v>
      </c>
      <c r="G65">
        <v>73</v>
      </c>
      <c r="H65">
        <v>43</v>
      </c>
      <c r="I65">
        <v>46</v>
      </c>
      <c r="J65">
        <v>89</v>
      </c>
      <c r="K65" t="s">
        <v>42</v>
      </c>
      <c r="L65" t="s">
        <v>139</v>
      </c>
      <c r="M65">
        <v>2024</v>
      </c>
      <c r="N65" t="s">
        <v>25</v>
      </c>
      <c r="O65" t="s">
        <v>34</v>
      </c>
      <c r="P65">
        <v>9</v>
      </c>
      <c r="Q65" t="s">
        <v>35</v>
      </c>
    </row>
    <row r="66" spans="1:17">
      <c r="A66" t="s">
        <v>179</v>
      </c>
      <c r="B66" t="s">
        <v>180</v>
      </c>
      <c r="C66" t="s">
        <v>38</v>
      </c>
      <c r="D66" t="s">
        <v>20</v>
      </c>
      <c r="E66" t="s">
        <v>63</v>
      </c>
      <c r="F66" t="s">
        <v>32</v>
      </c>
      <c r="G66">
        <v>92</v>
      </c>
      <c r="H66">
        <v>50</v>
      </c>
      <c r="I66">
        <v>43</v>
      </c>
      <c r="J66">
        <v>93</v>
      </c>
      <c r="K66" t="s">
        <v>60</v>
      </c>
      <c r="L66" t="s">
        <v>24</v>
      </c>
      <c r="M66">
        <v>2024</v>
      </c>
      <c r="N66" t="s">
        <v>25</v>
      </c>
      <c r="O66" t="s">
        <v>34</v>
      </c>
      <c r="P66">
        <v>6</v>
      </c>
      <c r="Q66" t="s">
        <v>44</v>
      </c>
    </row>
    <row r="67" spans="1:17">
      <c r="A67" t="s">
        <v>181</v>
      </c>
      <c r="B67" t="s">
        <v>182</v>
      </c>
      <c r="C67" t="s">
        <v>38</v>
      </c>
      <c r="D67" t="s">
        <v>20</v>
      </c>
      <c r="E67" t="s">
        <v>63</v>
      </c>
      <c r="F67" t="s">
        <v>41</v>
      </c>
      <c r="G67">
        <v>95</v>
      </c>
      <c r="H67">
        <v>33</v>
      </c>
      <c r="I67">
        <v>48</v>
      </c>
      <c r="J67">
        <v>81</v>
      </c>
      <c r="K67" t="s">
        <v>42</v>
      </c>
      <c r="L67" t="s">
        <v>80</v>
      </c>
      <c r="M67">
        <v>2024</v>
      </c>
      <c r="N67" t="s">
        <v>25</v>
      </c>
      <c r="O67" t="s">
        <v>26</v>
      </c>
      <c r="P67">
        <v>7</v>
      </c>
      <c r="Q67" t="s">
        <v>90</v>
      </c>
    </row>
    <row r="68" spans="1:17">
      <c r="A68" t="s">
        <v>183</v>
      </c>
      <c r="B68" t="s">
        <v>111</v>
      </c>
      <c r="C68" t="s">
        <v>38</v>
      </c>
      <c r="D68" t="s">
        <v>39</v>
      </c>
      <c r="E68" t="s">
        <v>69</v>
      </c>
      <c r="F68" t="s">
        <v>22</v>
      </c>
      <c r="G68">
        <v>75</v>
      </c>
      <c r="H68">
        <v>44</v>
      </c>
      <c r="I68">
        <v>33</v>
      </c>
      <c r="J68">
        <v>77</v>
      </c>
      <c r="K68" t="s">
        <v>23</v>
      </c>
      <c r="L68" t="s">
        <v>80</v>
      </c>
      <c r="M68">
        <v>2024</v>
      </c>
      <c r="N68" t="s">
        <v>25</v>
      </c>
      <c r="O68" t="s">
        <v>34</v>
      </c>
      <c r="P68">
        <v>8</v>
      </c>
      <c r="Q68" t="s">
        <v>27</v>
      </c>
    </row>
    <row r="69" spans="1:17">
      <c r="A69" t="s">
        <v>184</v>
      </c>
      <c r="B69" t="s">
        <v>185</v>
      </c>
      <c r="C69" t="s">
        <v>19</v>
      </c>
      <c r="D69" t="s">
        <v>30</v>
      </c>
      <c r="E69" t="s">
        <v>84</v>
      </c>
      <c r="F69" t="s">
        <v>41</v>
      </c>
      <c r="G69">
        <v>92</v>
      </c>
      <c r="H69">
        <v>34</v>
      </c>
      <c r="I69">
        <v>32</v>
      </c>
      <c r="J69">
        <v>66</v>
      </c>
      <c r="K69" t="s">
        <v>70</v>
      </c>
      <c r="L69" t="s">
        <v>80</v>
      </c>
      <c r="M69">
        <v>2024</v>
      </c>
      <c r="N69" t="s">
        <v>25</v>
      </c>
      <c r="O69" t="s">
        <v>26</v>
      </c>
      <c r="P69">
        <v>6</v>
      </c>
      <c r="Q69" t="s">
        <v>44</v>
      </c>
    </row>
    <row r="70" spans="1:17">
      <c r="A70" t="s">
        <v>186</v>
      </c>
      <c r="B70" t="s">
        <v>187</v>
      </c>
      <c r="C70" t="s">
        <v>19</v>
      </c>
      <c r="D70" t="s">
        <v>39</v>
      </c>
      <c r="E70" t="s">
        <v>69</v>
      </c>
      <c r="F70" t="s">
        <v>41</v>
      </c>
      <c r="G70">
        <v>76</v>
      </c>
      <c r="H70">
        <v>50</v>
      </c>
      <c r="I70">
        <v>45</v>
      </c>
      <c r="J70">
        <v>95</v>
      </c>
      <c r="K70" t="s">
        <v>60</v>
      </c>
      <c r="L70" t="s">
        <v>89</v>
      </c>
      <c r="M70">
        <v>2024</v>
      </c>
      <c r="N70" t="s">
        <v>25</v>
      </c>
      <c r="O70" t="s">
        <v>34</v>
      </c>
      <c r="P70">
        <v>8</v>
      </c>
      <c r="Q70" t="s">
        <v>53</v>
      </c>
    </row>
    <row r="71" spans="1:17">
      <c r="A71" t="s">
        <v>188</v>
      </c>
      <c r="B71" t="s">
        <v>189</v>
      </c>
      <c r="C71" t="s">
        <v>19</v>
      </c>
      <c r="D71" t="s">
        <v>20</v>
      </c>
      <c r="E71" t="s">
        <v>21</v>
      </c>
      <c r="F71" t="s">
        <v>41</v>
      </c>
      <c r="G71">
        <v>88</v>
      </c>
      <c r="H71">
        <v>41</v>
      </c>
      <c r="I71">
        <v>50</v>
      </c>
      <c r="J71">
        <v>91</v>
      </c>
      <c r="K71" t="s">
        <v>60</v>
      </c>
      <c r="L71" t="s">
        <v>139</v>
      </c>
      <c r="M71">
        <v>2024</v>
      </c>
      <c r="N71" t="s">
        <v>25</v>
      </c>
      <c r="O71" t="s">
        <v>26</v>
      </c>
      <c r="P71">
        <v>6</v>
      </c>
      <c r="Q7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AAF4-0652-4E26-A471-E2EC2456D34D}">
  <dimension ref="A3:D58"/>
  <sheetViews>
    <sheetView tabSelected="1" topLeftCell="A30" workbookViewId="0">
      <selection activeCell="B18" sqref="B18"/>
    </sheetView>
  </sheetViews>
  <sheetFormatPr defaultRowHeight="14.4"/>
  <cols>
    <col min="1" max="1" width="12.5546875" bestFit="1" customWidth="1"/>
    <col min="2" max="2" width="24.5546875" bestFit="1" customWidth="1"/>
    <col min="3" max="3" width="23.88671875" bestFit="1" customWidth="1"/>
    <col min="4" max="4" width="10.77734375" bestFit="1" customWidth="1"/>
  </cols>
  <sheetData>
    <row r="3" spans="1:3">
      <c r="A3" s="5" t="s">
        <v>194</v>
      </c>
      <c r="B3" t="s">
        <v>196</v>
      </c>
    </row>
    <row r="4" spans="1:3">
      <c r="A4" s="6" t="s">
        <v>20</v>
      </c>
      <c r="B4">
        <v>79.913043478260875</v>
      </c>
    </row>
    <row r="5" spans="1:3">
      <c r="A5" s="6" t="s">
        <v>30</v>
      </c>
      <c r="B5">
        <v>78.34615384615384</v>
      </c>
    </row>
    <row r="6" spans="1:3">
      <c r="A6" s="6" t="s">
        <v>39</v>
      </c>
      <c r="B6">
        <v>81.285714285714292</v>
      </c>
    </row>
    <row r="7" spans="1:3">
      <c r="A7" s="6" t="s">
        <v>195</v>
      </c>
      <c r="B7">
        <v>79.742857142857147</v>
      </c>
    </row>
    <row r="15" spans="1:3">
      <c r="A15" s="5" t="s">
        <v>194</v>
      </c>
      <c r="B15" t="s">
        <v>196</v>
      </c>
      <c r="C15" t="s">
        <v>200</v>
      </c>
    </row>
    <row r="16" spans="1:3">
      <c r="A16" s="6" t="s">
        <v>47</v>
      </c>
      <c r="B16" s="7">
        <v>81.461538461538467</v>
      </c>
      <c r="C16" s="7">
        <v>80.307692307692307</v>
      </c>
    </row>
    <row r="17" spans="1:4">
      <c r="A17" s="6" t="s">
        <v>69</v>
      </c>
      <c r="B17" s="7">
        <v>78.599999999999994</v>
      </c>
      <c r="C17" s="7">
        <v>82.2</v>
      </c>
    </row>
    <row r="18" spans="1:4">
      <c r="A18" s="6" t="s">
        <v>84</v>
      </c>
      <c r="B18" s="7">
        <v>73.333333333333329</v>
      </c>
      <c r="C18" s="7">
        <v>91.666666666666671</v>
      </c>
    </row>
    <row r="19" spans="1:4">
      <c r="A19" s="6" t="s">
        <v>31</v>
      </c>
      <c r="B19" s="7">
        <v>79.599999999999994</v>
      </c>
      <c r="C19" s="7">
        <v>83.6</v>
      </c>
    </row>
    <row r="20" spans="1:4">
      <c r="A20" s="6" t="s">
        <v>40</v>
      </c>
      <c r="B20" s="7">
        <v>80.5</v>
      </c>
      <c r="C20" s="7">
        <v>82.5</v>
      </c>
    </row>
    <row r="21" spans="1:4">
      <c r="A21" s="6" t="s">
        <v>63</v>
      </c>
      <c r="B21" s="7">
        <v>77.428571428571431</v>
      </c>
      <c r="C21" s="7">
        <v>87</v>
      </c>
    </row>
    <row r="22" spans="1:4">
      <c r="A22" s="6" t="s">
        <v>52</v>
      </c>
      <c r="B22" s="7">
        <v>76.8</v>
      </c>
      <c r="C22" s="7">
        <v>78</v>
      </c>
    </row>
    <row r="23" spans="1:4">
      <c r="A23" s="6" t="s">
        <v>59</v>
      </c>
      <c r="B23" s="7">
        <v>80.5</v>
      </c>
      <c r="C23" s="7">
        <v>83</v>
      </c>
    </row>
    <row r="24" spans="1:4">
      <c r="A24" s="6" t="s">
        <v>77</v>
      </c>
      <c r="B24" s="7">
        <v>83</v>
      </c>
      <c r="C24" s="7">
        <v>85</v>
      </c>
    </row>
    <row r="25" spans="1:4">
      <c r="A25" s="6" t="s">
        <v>21</v>
      </c>
      <c r="B25" s="7">
        <v>81.428571428571431</v>
      </c>
      <c r="C25" s="7">
        <v>86.142857142857139</v>
      </c>
    </row>
    <row r="26" spans="1:4">
      <c r="A26" s="6" t="s">
        <v>74</v>
      </c>
      <c r="B26" s="7">
        <v>79.625</v>
      </c>
      <c r="C26" s="7">
        <v>89</v>
      </c>
    </row>
    <row r="27" spans="1:4">
      <c r="A27" s="6" t="s">
        <v>195</v>
      </c>
      <c r="B27" s="7">
        <v>79.742857142857147</v>
      </c>
      <c r="C27" s="7">
        <v>84.085714285714289</v>
      </c>
    </row>
    <row r="30" spans="1:4">
      <c r="A30" s="5" t="s">
        <v>198</v>
      </c>
      <c r="B30" s="5" t="s">
        <v>197</v>
      </c>
    </row>
    <row r="31" spans="1:4">
      <c r="A31" s="5" t="s">
        <v>194</v>
      </c>
      <c r="B31" t="s">
        <v>38</v>
      </c>
      <c r="C31" t="s">
        <v>19</v>
      </c>
      <c r="D31" t="s">
        <v>195</v>
      </c>
    </row>
    <row r="32" spans="1:4">
      <c r="A32" s="6" t="s">
        <v>42</v>
      </c>
      <c r="B32">
        <v>14</v>
      </c>
      <c r="C32">
        <v>13</v>
      </c>
      <c r="D32">
        <v>27</v>
      </c>
    </row>
    <row r="33" spans="1:4">
      <c r="A33" s="6" t="s">
        <v>60</v>
      </c>
      <c r="B33">
        <v>5</v>
      </c>
      <c r="C33">
        <v>5</v>
      </c>
      <c r="D33">
        <v>10</v>
      </c>
    </row>
    <row r="34" spans="1:4">
      <c r="A34" s="6" t="s">
        <v>70</v>
      </c>
      <c r="B34">
        <v>7</v>
      </c>
      <c r="C34">
        <v>4</v>
      </c>
      <c r="D34">
        <v>11</v>
      </c>
    </row>
    <row r="35" spans="1:4">
      <c r="A35" s="6" t="s">
        <v>23</v>
      </c>
      <c r="B35">
        <v>13</v>
      </c>
      <c r="C35">
        <v>9</v>
      </c>
      <c r="D35">
        <v>22</v>
      </c>
    </row>
    <row r="36" spans="1:4">
      <c r="A36" s="6" t="s">
        <v>195</v>
      </c>
      <c r="B36">
        <v>39</v>
      </c>
      <c r="C36">
        <v>31</v>
      </c>
      <c r="D36">
        <v>70</v>
      </c>
    </row>
    <row r="41" spans="1:4">
      <c r="A41" s="5" t="s">
        <v>198</v>
      </c>
      <c r="B41" s="5" t="s">
        <v>197</v>
      </c>
    </row>
    <row r="42" spans="1:4">
      <c r="A42" s="5" t="s">
        <v>194</v>
      </c>
      <c r="B42" s="13" t="s">
        <v>26</v>
      </c>
      <c r="C42" t="s">
        <v>34</v>
      </c>
      <c r="D42" t="s">
        <v>195</v>
      </c>
    </row>
    <row r="43" spans="1:4">
      <c r="A43" s="6" t="s">
        <v>20</v>
      </c>
      <c r="B43" s="13">
        <v>15</v>
      </c>
      <c r="C43">
        <v>8</v>
      </c>
      <c r="D43">
        <v>23</v>
      </c>
    </row>
    <row r="44" spans="1:4">
      <c r="A44" s="6" t="s">
        <v>30</v>
      </c>
      <c r="B44" s="13">
        <v>11</v>
      </c>
      <c r="C44">
        <v>15</v>
      </c>
      <c r="D44">
        <v>26</v>
      </c>
    </row>
    <row r="45" spans="1:4">
      <c r="A45" s="6" t="s">
        <v>39</v>
      </c>
      <c r="B45" s="13">
        <v>13</v>
      </c>
      <c r="C45">
        <v>8</v>
      </c>
      <c r="D45">
        <v>21</v>
      </c>
    </row>
    <row r="46" spans="1:4">
      <c r="A46" s="6" t="s">
        <v>195</v>
      </c>
      <c r="B46" s="13">
        <v>39</v>
      </c>
      <c r="C46">
        <v>31</v>
      </c>
      <c r="D46">
        <v>70</v>
      </c>
    </row>
    <row r="52" spans="1:2">
      <c r="A52" s="5" t="s">
        <v>194</v>
      </c>
      <c r="B52" t="s">
        <v>199</v>
      </c>
    </row>
    <row r="53" spans="1:2">
      <c r="A53" s="6" t="s">
        <v>35</v>
      </c>
      <c r="B53">
        <v>8.1764705882352935</v>
      </c>
    </row>
    <row r="54" spans="1:2">
      <c r="A54" s="6" t="s">
        <v>27</v>
      </c>
      <c r="B54">
        <v>8.6999999999999993</v>
      </c>
    </row>
    <row r="55" spans="1:2">
      <c r="A55" s="6" t="s">
        <v>90</v>
      </c>
      <c r="B55">
        <v>7.4285714285714288</v>
      </c>
    </row>
    <row r="56" spans="1:2">
      <c r="A56" s="6" t="s">
        <v>53</v>
      </c>
      <c r="B56">
        <v>8.3000000000000007</v>
      </c>
    </row>
    <row r="57" spans="1:2">
      <c r="A57" s="6" t="s">
        <v>44</v>
      </c>
      <c r="B57">
        <v>7.8947368421052628</v>
      </c>
    </row>
    <row r="58" spans="1:2">
      <c r="A58" s="6" t="s">
        <v>195</v>
      </c>
      <c r="B58">
        <v>8.0428571428571427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2EDA-F8C3-4717-BC63-F218B171A5AC}">
  <dimension ref="A1:AD45"/>
  <sheetViews>
    <sheetView showGridLines="0" zoomScale="63" zoomScaleNormal="63" zoomScalePageLayoutView="71" workbookViewId="0">
      <selection activeCell="AH25" sqref="AH25"/>
    </sheetView>
  </sheetViews>
  <sheetFormatPr defaultRowHeight="14.4"/>
  <cols>
    <col min="1" max="27" width="8.88671875" style="14"/>
    <col min="28" max="28" width="8.6640625" style="14" customWidth="1"/>
    <col min="29" max="30" width="8.88671875" style="14" hidden="1" customWidth="1"/>
    <col min="31" max="16384" width="8.88671875" style="14"/>
  </cols>
  <sheetData>
    <row r="1" spans="1:27" ht="21.6" customHeight="1">
      <c r="A1" s="29" t="s">
        <v>193</v>
      </c>
      <c r="B1" s="30"/>
      <c r="C1" s="30"/>
      <c r="D1" s="30"/>
      <c r="E1" s="30"/>
      <c r="F1" s="30"/>
      <c r="G1" s="30"/>
      <c r="H1" s="30"/>
      <c r="I1" s="30"/>
      <c r="J1" s="30"/>
      <c r="K1" s="30"/>
      <c r="L1" s="30"/>
      <c r="M1" s="30"/>
      <c r="N1" s="30"/>
      <c r="O1" s="30"/>
      <c r="P1" s="30"/>
      <c r="Q1" s="30"/>
      <c r="R1" s="30"/>
      <c r="S1" s="30"/>
      <c r="T1" s="30"/>
      <c r="U1" s="30"/>
      <c r="V1" s="30"/>
      <c r="W1" s="30"/>
      <c r="X1" s="8"/>
      <c r="Y1" s="8"/>
      <c r="Z1" s="8"/>
      <c r="AA1" s="8"/>
    </row>
    <row r="2" spans="1:27" ht="21.6" customHeight="1">
      <c r="A2" s="9"/>
      <c r="B2" s="10"/>
      <c r="C2" s="10"/>
      <c r="D2" s="10"/>
      <c r="E2" s="10"/>
      <c r="F2" s="10"/>
      <c r="G2" s="33" t="s">
        <v>205</v>
      </c>
      <c r="H2" s="33"/>
      <c r="I2" s="33"/>
      <c r="J2" s="33"/>
      <c r="K2" s="33"/>
      <c r="L2" s="33"/>
      <c r="M2" s="33"/>
      <c r="N2" s="33"/>
      <c r="O2" s="33"/>
      <c r="P2" s="33"/>
      <c r="Q2" s="33"/>
      <c r="R2" s="10"/>
      <c r="S2" s="10"/>
      <c r="T2" s="10"/>
      <c r="U2" s="10"/>
      <c r="V2" s="10"/>
      <c r="W2" s="10"/>
      <c r="X2" s="8"/>
      <c r="Y2" s="8"/>
      <c r="Z2" s="8"/>
      <c r="AA2" s="8"/>
    </row>
    <row r="3" spans="1:27" ht="15" thickBot="1">
      <c r="A3" s="2"/>
      <c r="B3" s="2"/>
      <c r="C3" s="2"/>
      <c r="D3" s="2"/>
      <c r="E3" s="2"/>
      <c r="F3" s="2"/>
      <c r="G3" s="2"/>
      <c r="H3" s="2"/>
      <c r="I3" s="2"/>
      <c r="J3" s="2"/>
      <c r="K3" s="2"/>
      <c r="L3" s="2"/>
      <c r="M3" s="2"/>
      <c r="N3" s="2"/>
      <c r="O3" s="2"/>
      <c r="P3" s="2"/>
      <c r="Q3" s="2"/>
      <c r="R3" s="2"/>
      <c r="S3" s="2"/>
      <c r="T3" s="2"/>
      <c r="U3" s="2"/>
      <c r="V3" s="2"/>
      <c r="W3" s="2"/>
      <c r="X3" s="2"/>
      <c r="Y3" s="2"/>
      <c r="Z3" s="2"/>
      <c r="AA3" s="2"/>
    </row>
    <row r="4" spans="1:27">
      <c r="A4" s="2"/>
      <c r="B4" s="2"/>
      <c r="C4" s="23" t="s">
        <v>201</v>
      </c>
      <c r="D4" s="24"/>
      <c r="E4" s="24"/>
      <c r="F4" s="25"/>
      <c r="G4" s="2"/>
      <c r="H4" s="2"/>
      <c r="I4" s="23" t="s">
        <v>202</v>
      </c>
      <c r="J4" s="24"/>
      <c r="K4" s="24"/>
      <c r="L4" s="25"/>
      <c r="M4" s="2"/>
      <c r="N4" s="2"/>
      <c r="O4" s="23" t="s">
        <v>203</v>
      </c>
      <c r="P4" s="24"/>
      <c r="Q4" s="24"/>
      <c r="R4" s="25"/>
      <c r="S4" s="2"/>
      <c r="T4" s="2"/>
      <c r="U4" s="23" t="s">
        <v>204</v>
      </c>
      <c r="V4" s="24"/>
      <c r="W4" s="24"/>
      <c r="X4" s="25"/>
      <c r="Y4" s="2"/>
      <c r="Z4" s="2"/>
      <c r="AA4" s="2"/>
    </row>
    <row r="5" spans="1:27">
      <c r="A5" s="2"/>
      <c r="B5" s="2"/>
      <c r="C5" s="26"/>
      <c r="D5" s="27"/>
      <c r="E5" s="27"/>
      <c r="F5" s="28"/>
      <c r="G5" s="2"/>
      <c r="H5" s="2"/>
      <c r="I5" s="26"/>
      <c r="J5" s="27"/>
      <c r="K5" s="27"/>
      <c r="L5" s="28"/>
      <c r="M5" s="2"/>
      <c r="N5" s="2"/>
      <c r="O5" s="26"/>
      <c r="P5" s="27"/>
      <c r="Q5" s="27"/>
      <c r="R5" s="28"/>
      <c r="S5" s="2"/>
      <c r="T5" s="2"/>
      <c r="U5" s="26"/>
      <c r="V5" s="27"/>
      <c r="W5" s="27"/>
      <c r="X5" s="28"/>
      <c r="Y5" s="2"/>
      <c r="Z5" s="2"/>
      <c r="AA5" s="2"/>
    </row>
    <row r="6" spans="1:27" ht="18">
      <c r="A6" s="2"/>
      <c r="B6" s="2"/>
      <c r="C6" s="15"/>
      <c r="D6" s="31">
        <f>AVERAGE('Data '!G2:G71)</f>
        <v>84.085714285714289</v>
      </c>
      <c r="E6" s="31"/>
      <c r="F6" s="16"/>
      <c r="G6" s="2"/>
      <c r="H6" s="2"/>
      <c r="I6" s="15"/>
      <c r="J6" s="31">
        <f>AVERAGE('Data '!J2:J72)</f>
        <v>79.742857142857147</v>
      </c>
      <c r="K6" s="31"/>
      <c r="L6" s="16"/>
      <c r="M6" s="2"/>
      <c r="N6" s="2"/>
      <c r="O6" s="15"/>
      <c r="P6" s="31">
        <f>COUNTA('Data '!A2:A71)</f>
        <v>70</v>
      </c>
      <c r="Q6" s="31"/>
      <c r="R6" s="16"/>
      <c r="S6" s="2"/>
      <c r="T6" s="2"/>
      <c r="U6" s="15"/>
      <c r="V6" s="32">
        <f>COUNTIF('Data '!O2:O71,"Placed")/COUNTA('Data '!O2:O71)</f>
        <v>0.44285714285714284</v>
      </c>
      <c r="W6" s="32"/>
      <c r="X6" s="16"/>
      <c r="Y6" s="2"/>
      <c r="Z6" s="2"/>
      <c r="AA6" s="2"/>
    </row>
    <row r="7" spans="1:27" ht="15" thickBot="1">
      <c r="A7" s="2"/>
      <c r="B7" s="2"/>
      <c r="C7" s="17"/>
      <c r="D7" s="18"/>
      <c r="E7" s="18"/>
      <c r="F7" s="19"/>
      <c r="G7" s="2"/>
      <c r="H7" s="2"/>
      <c r="I7" s="17"/>
      <c r="J7" s="18"/>
      <c r="K7" s="18"/>
      <c r="L7" s="19"/>
      <c r="M7" s="2"/>
      <c r="N7" s="2"/>
      <c r="O7" s="17"/>
      <c r="P7" s="18"/>
      <c r="Q7" s="18"/>
      <c r="R7" s="19"/>
      <c r="S7" s="2"/>
      <c r="T7" s="2"/>
      <c r="U7" s="17"/>
      <c r="V7" s="18"/>
      <c r="W7" s="18"/>
      <c r="X7" s="19"/>
      <c r="Y7" s="2"/>
      <c r="Z7" s="2"/>
      <c r="AA7" s="2"/>
    </row>
    <row r="8" spans="1:27">
      <c r="A8" s="2"/>
      <c r="B8" s="2"/>
      <c r="C8" s="2"/>
      <c r="D8" s="2"/>
      <c r="E8" s="2"/>
      <c r="F8" s="2"/>
      <c r="G8" s="2"/>
      <c r="H8" s="2"/>
      <c r="I8" s="2"/>
      <c r="J8" s="2"/>
      <c r="K8" s="2"/>
      <c r="L8" s="2"/>
      <c r="M8" s="2"/>
      <c r="N8" s="2"/>
      <c r="O8" s="2"/>
      <c r="P8" s="2"/>
      <c r="Q8" s="2"/>
      <c r="R8" s="2"/>
      <c r="S8" s="2"/>
      <c r="T8" s="2"/>
      <c r="U8" s="2"/>
      <c r="V8" s="2"/>
      <c r="W8" s="2"/>
      <c r="X8" s="2"/>
      <c r="Y8" s="2"/>
      <c r="Z8" s="2"/>
      <c r="AA8" s="2"/>
    </row>
    <row r="9" spans="1:27">
      <c r="A9" s="2"/>
      <c r="B9" s="2"/>
      <c r="C9" s="2"/>
      <c r="D9" s="2"/>
      <c r="E9" s="2"/>
      <c r="F9" s="2"/>
      <c r="G9" s="2"/>
      <c r="H9" s="2"/>
      <c r="I9" s="2"/>
      <c r="J9" s="2"/>
      <c r="K9" s="2"/>
      <c r="L9" s="2"/>
      <c r="M9" s="2"/>
      <c r="N9" s="2"/>
      <c r="O9" s="2"/>
      <c r="P9" s="2"/>
      <c r="Q9" s="2"/>
      <c r="R9" s="2"/>
      <c r="S9" s="2"/>
      <c r="T9" s="2"/>
      <c r="U9" s="2"/>
      <c r="V9" s="2"/>
      <c r="W9" s="2"/>
      <c r="X9" s="2"/>
      <c r="Y9" s="2"/>
      <c r="Z9" s="2"/>
      <c r="AA9" s="2"/>
    </row>
    <row r="10" spans="1:27">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2" t="s">
        <v>206</v>
      </c>
      <c r="D21" s="22"/>
      <c r="E21" s="22"/>
      <c r="F21" s="22"/>
      <c r="G21" s="22"/>
      <c r="H21" s="22"/>
      <c r="I21" s="2"/>
      <c r="J21" s="2"/>
      <c r="K21" s="20" t="s">
        <v>211</v>
      </c>
      <c r="L21" s="21"/>
      <c r="M21" s="21"/>
      <c r="N21" s="21"/>
      <c r="O21" s="21"/>
      <c r="P21" s="21"/>
      <c r="Q21" s="2"/>
      <c r="R21" s="2"/>
      <c r="S21" s="20" t="s">
        <v>208</v>
      </c>
      <c r="T21" s="20"/>
      <c r="U21" s="20"/>
      <c r="V21" s="20"/>
      <c r="W21" s="20"/>
      <c r="X21" s="20"/>
      <c r="Y21" s="2"/>
      <c r="Z21" s="2"/>
      <c r="AA21" s="2"/>
    </row>
    <row r="22" spans="1:27">
      <c r="A22" s="2"/>
      <c r="B22" s="2"/>
      <c r="C22" s="2"/>
      <c r="D22" s="2"/>
      <c r="E22" s="2"/>
      <c r="F22" s="2"/>
      <c r="G22" s="2"/>
      <c r="H22" s="2"/>
      <c r="I22" s="2"/>
      <c r="J22" s="2"/>
      <c r="K22" s="20" t="s">
        <v>212</v>
      </c>
      <c r="L22" s="21"/>
      <c r="M22" s="21"/>
      <c r="N22" s="21"/>
      <c r="O22" s="21"/>
      <c r="P22" s="21"/>
      <c r="Q22" s="2"/>
      <c r="R22" s="2"/>
      <c r="S22" s="2"/>
      <c r="T22" s="2"/>
      <c r="U22" s="2"/>
      <c r="V22" s="2"/>
      <c r="W22" s="2"/>
      <c r="X22" s="2"/>
      <c r="Y22" s="12"/>
      <c r="Z22" s="2"/>
      <c r="AA22" s="2"/>
    </row>
    <row r="23" spans="1:27">
      <c r="A23" s="2"/>
      <c r="B23" s="2"/>
      <c r="C23" s="2"/>
      <c r="D23" s="11"/>
      <c r="E23" s="11"/>
      <c r="F23" s="11"/>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0" t="s">
        <v>207</v>
      </c>
      <c r="L35" s="20"/>
      <c r="M35" s="20"/>
      <c r="N35" s="20"/>
      <c r="O35" s="20"/>
      <c r="P35" s="20"/>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0" t="s">
        <v>209</v>
      </c>
      <c r="D40" s="20"/>
      <c r="E40" s="20"/>
      <c r="F40" s="20"/>
      <c r="G40" s="20"/>
      <c r="H40" s="20"/>
      <c r="I40" s="20"/>
      <c r="J40" s="2"/>
      <c r="K40" s="2"/>
      <c r="L40" s="2"/>
      <c r="M40" s="2"/>
      <c r="N40" s="2"/>
      <c r="O40" s="2"/>
      <c r="P40" s="2"/>
      <c r="Q40" s="2"/>
      <c r="R40" s="2"/>
      <c r="S40" s="2"/>
      <c r="T40" s="2"/>
      <c r="U40" s="2"/>
      <c r="V40" s="2"/>
      <c r="W40" s="2"/>
      <c r="X40" s="2"/>
      <c r="Y40" s="2"/>
      <c r="Z40" s="2"/>
      <c r="AA40" s="2"/>
    </row>
    <row r="41" spans="1:27">
      <c r="A41" s="2"/>
      <c r="B41" s="2"/>
      <c r="C41" s="20" t="s">
        <v>210</v>
      </c>
      <c r="D41" s="20"/>
      <c r="E41" s="20"/>
      <c r="F41" s="20"/>
      <c r="G41" s="20"/>
      <c r="H41" s="20"/>
      <c r="I41" s="20"/>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sheetData>
  <mergeCells count="17">
    <mergeCell ref="U4:X5"/>
    <mergeCell ref="A1:W1"/>
    <mergeCell ref="D6:E6"/>
    <mergeCell ref="J6:K6"/>
    <mergeCell ref="P6:Q6"/>
    <mergeCell ref="V6:W6"/>
    <mergeCell ref="G2:Q2"/>
    <mergeCell ref="C41:I41"/>
    <mergeCell ref="K22:P22"/>
    <mergeCell ref="C4:F5"/>
    <mergeCell ref="I4:L5"/>
    <mergeCell ref="O4:R5"/>
    <mergeCell ref="K21:P21"/>
    <mergeCell ref="C21:H21"/>
    <mergeCell ref="K35:P35"/>
    <mergeCell ref="S21:X21"/>
    <mergeCell ref="C40:I40"/>
  </mergeCells>
  <pageMargins left="0.7" right="0.7" top="0.75" bottom="0.75" header="0.3" footer="0.3"/>
  <pageSetup orientation="portrait" r:id="rId1"/>
  <headerFooter>
    <oddFooter>&amp;CSanjana Maini | 12th October 2025</oddFooter>
  </headerFooter>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CF45-7A19-482D-BE14-95A2514E667C}">
  <dimension ref="A1"/>
  <sheetViews>
    <sheetView workbookViewId="0"/>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Data </vt:lpstr>
      <vt:lpstr>Pivot_Tables</vt:lpstr>
      <vt:lpstr>Dashboard</vt:lpstr>
      <vt:lpstr>Dashboard visual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dc:creator>
  <cp:lastModifiedBy>Sanjana .</cp:lastModifiedBy>
  <dcterms:created xsi:type="dcterms:W3CDTF">2025-10-10T13:08:00Z</dcterms:created>
  <dcterms:modified xsi:type="dcterms:W3CDTF">2025-10-12T17:20:05Z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628470180F794C939496DAFFA4579547_12</vt:lpwstr>
  </property>
  <property fmtid="{D5CDD505-2E9C-101B-9397-08002B2CF9AE}" pid="3" name="KSOProductBuildVer">
    <vt:lpwstr>1033-12.2.0.20795</vt:lpwstr>
  </property>
</Properties>
</file>