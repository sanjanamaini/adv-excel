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8_{329E6146-36F5-456B-9CFB-DCF89535BC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 function Data" sheetId="1" r:id="rId1"/>
    <sheet name="Name Manager Data" sheetId="2" r:id="rId2"/>
    <sheet name="Assignment" sheetId="3" r:id="rId3"/>
    <sheet name="Data Validation" sheetId="4" r:id="rId4"/>
  </sheets>
  <definedNames>
    <definedName name="MathsScore">'Name Manager Data'!$C$2:$C$21</definedName>
    <definedName name="StudentName">'Name Manager Data'!$A$2:$A$21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" i="1"/>
  <c r="E2" i="2"/>
  <c r="D2" i="2"/>
  <c r="D20" i="1"/>
  <c r="D17" i="1"/>
  <c r="D14" i="1"/>
  <c r="D11" i="1"/>
  <c r="D8" i="1"/>
  <c r="C8" i="1"/>
  <c r="D5" i="1"/>
  <c r="D2" i="1"/>
</calcChain>
</file>

<file path=xl/sharedStrings.xml><?xml version="1.0" encoding="utf-8"?>
<sst xmlns="http://schemas.openxmlformats.org/spreadsheetml/2006/main" count="206" uniqueCount="132">
  <si>
    <t>If Text_Name Column is blank, return "Missing", otherwise "Present".</t>
  </si>
  <si>
    <t>Name</t>
  </si>
  <si>
    <t>Number</t>
  </si>
  <si>
    <t>Logical</t>
  </si>
  <si>
    <t>Formula</t>
  </si>
  <si>
    <t>Error</t>
  </si>
  <si>
    <t>IS Error</t>
  </si>
  <si>
    <t>Text 2</t>
  </si>
  <si>
    <t>Number 2</t>
  </si>
  <si>
    <t>Text_City</t>
  </si>
  <si>
    <t>Text_Name</t>
  </si>
  <si>
    <t>Text_Status</t>
  </si>
  <si>
    <t>Mixed_1</t>
  </si>
  <si>
    <t>Mixed_2</t>
  </si>
  <si>
    <t>#DIV/0!</t>
  </si>
  <si>
    <t>kavita</t>
  </si>
  <si>
    <t>Delhi</t>
  </si>
  <si>
    <t>Name_0</t>
  </si>
  <si>
    <t>Pending</t>
  </si>
  <si>
    <t>Item_0</t>
  </si>
  <si>
    <t>Text_1</t>
  </si>
  <si>
    <t>Kolkata</t>
  </si>
  <si>
    <t>Name_1</t>
  </si>
  <si>
    <t>Active</t>
  </si>
  <si>
    <t>330</t>
  </si>
  <si>
    <t>Text_2</t>
  </si>
  <si>
    <t>Name_2</t>
  </si>
  <si>
    <t>Inactive</t>
  </si>
  <si>
    <t>Item_2</t>
  </si>
  <si>
    <t>76</t>
  </si>
  <si>
    <t>Text_3</t>
  </si>
  <si>
    <t>Pune</t>
  </si>
  <si>
    <t>Name_3</t>
  </si>
  <si>
    <t>Item_3</t>
  </si>
  <si>
    <t>Text_4</t>
  </si>
  <si>
    <t>Name_4</t>
  </si>
  <si>
    <t>225</t>
  </si>
  <si>
    <t>Text_5</t>
  </si>
  <si>
    <t>Chennai</t>
  </si>
  <si>
    <t>Name_5</t>
  </si>
  <si>
    <t>911</t>
  </si>
  <si>
    <t>37</t>
  </si>
  <si>
    <t>Text_6</t>
  </si>
  <si>
    <t>Name_6</t>
  </si>
  <si>
    <t>Item_6</t>
  </si>
  <si>
    <t>Text_7</t>
  </si>
  <si>
    <t>\</t>
  </si>
  <si>
    <t>Name_7</t>
  </si>
  <si>
    <t>Item_7</t>
  </si>
  <si>
    <t>92</t>
  </si>
  <si>
    <t>Text_8</t>
  </si>
  <si>
    <t>10+12</t>
  </si>
  <si>
    <t>Mehak</t>
  </si>
  <si>
    <t>Name_8</t>
  </si>
  <si>
    <t>Item_8</t>
  </si>
  <si>
    <t>31</t>
  </si>
  <si>
    <t>Text_9</t>
  </si>
  <si>
    <t>Name_9</t>
  </si>
  <si>
    <t>Item_9</t>
  </si>
  <si>
    <t>Name_10</t>
  </si>
  <si>
    <t>Item_10</t>
  </si>
  <si>
    <t>Text_11</t>
  </si>
  <si>
    <t>Mumbai</t>
  </si>
  <si>
    <t>Name_11</t>
  </si>
  <si>
    <t>Item_11</t>
  </si>
  <si>
    <t>29</t>
  </si>
  <si>
    <t>Text_12</t>
  </si>
  <si>
    <t>Name_12</t>
  </si>
  <si>
    <t>Item_12</t>
  </si>
  <si>
    <t>Text_13</t>
  </si>
  <si>
    <t>Name_13</t>
  </si>
  <si>
    <t>Item_13</t>
  </si>
  <si>
    <t>40</t>
  </si>
  <si>
    <t>Text_14</t>
  </si>
  <si>
    <t>Name_14</t>
  </si>
  <si>
    <t>332</t>
  </si>
  <si>
    <t>41</t>
  </si>
  <si>
    <t>Text_15</t>
  </si>
  <si>
    <t>Name_15</t>
  </si>
  <si>
    <t>208</t>
  </si>
  <si>
    <t>86</t>
  </si>
  <si>
    <t>Text_16</t>
  </si>
  <si>
    <t>Name_16</t>
  </si>
  <si>
    <t>245</t>
  </si>
  <si>
    <t>11</t>
  </si>
  <si>
    <t>Text_17</t>
  </si>
  <si>
    <t>Name_17</t>
  </si>
  <si>
    <t>Item_17</t>
  </si>
  <si>
    <t>23</t>
  </si>
  <si>
    <t>Text_18</t>
  </si>
  <si>
    <t>Name_18</t>
  </si>
  <si>
    <t>Item_18</t>
  </si>
  <si>
    <t>Multiply Number column by 2, only if it’s a number. Otherwise return "Not a number".</t>
  </si>
  <si>
    <t>If Text_Status column contains text, return "OK", else "Check".</t>
  </si>
  <si>
    <r>
      <t xml:space="preserve">Return "Ready" if Number column is a number </t>
    </r>
    <r>
      <rPr>
        <b/>
        <sz val="12"/>
        <color rgb="FF000000"/>
        <rFont val="Calibri"/>
      </rPr>
      <t>and</t>
    </r>
    <r>
      <rPr>
        <sz val="12"/>
        <color rgb="FF000000"/>
        <rFont val="Calibri"/>
      </rPr>
      <t xml:space="preserve"> Text_Status is not blank.</t>
    </r>
  </si>
  <si>
    <r>
      <t xml:space="preserve">If IS error coulmn has an error </t>
    </r>
    <r>
      <rPr>
        <b/>
        <sz val="12"/>
        <color rgb="FF000000"/>
        <rFont val="Calibri"/>
      </rPr>
      <t>or</t>
    </r>
    <r>
      <rPr>
        <sz val="12"/>
        <color rgb="FF000000"/>
        <rFont val="Calibri"/>
      </rPr>
      <t xml:space="preserve"> Number column is blank, return "Problem".</t>
    </r>
  </si>
  <si>
    <r>
      <t xml:space="preserve">Show "Wrong Type" if Mixed_1 column is </t>
    </r>
    <r>
      <rPr>
        <b/>
        <sz val="12"/>
        <color rgb="FF000000"/>
        <rFont val="Calibri"/>
      </rPr>
      <t>not</t>
    </r>
    <r>
      <rPr>
        <sz val="12"/>
        <color rgb="FF000000"/>
        <rFont val="Calibri"/>
      </rPr>
      <t xml:space="preserve"> text else "Looks Good") .</t>
    </r>
  </si>
  <si>
    <t>Check if value in Number column is a number  and is a odd "Odd Number" else "Even or Invalid")</t>
  </si>
  <si>
    <t>Sr. No</t>
  </si>
  <si>
    <t>Question</t>
  </si>
  <si>
    <t>Assignment sheet</t>
  </si>
  <si>
    <t>Refer sheet IS Function data</t>
  </si>
  <si>
    <t>Ensure both named ranges are used in the formula.</t>
  </si>
  <si>
    <t>Student_ID</t>
  </si>
  <si>
    <t>Math_Score</t>
  </si>
  <si>
    <t>Sweety</t>
  </si>
  <si>
    <t>Kavita</t>
  </si>
  <si>
    <t>Lavisha</t>
  </si>
  <si>
    <t>Naman</t>
  </si>
  <si>
    <t>Mohita</t>
  </si>
  <si>
    <t>Rajiv</t>
  </si>
  <si>
    <t>Refer sheet Name Manager data</t>
  </si>
  <si>
    <r>
      <t xml:space="preserve">Then use </t>
    </r>
    <r>
      <rPr>
        <sz val="10"/>
        <color rgb="FF000000"/>
        <rFont val="Arial Unicode MS"/>
      </rPr>
      <t>COUNTIF</t>
    </r>
    <r>
      <rPr>
        <sz val="11"/>
        <color rgb="FF000000"/>
        <rFont val="Calibri"/>
      </rPr>
      <t xml:space="preserve"> to find how many times "Mehak" appears in </t>
    </r>
    <r>
      <rPr>
        <sz val="10"/>
        <color rgb="FF000000"/>
        <rFont val="Arial Unicode MS"/>
      </rPr>
      <t>StudentName</t>
    </r>
    <r>
      <rPr>
        <sz val="11"/>
        <color rgb="FF000000"/>
        <rFont val="Calibri"/>
      </rPr>
      <t>.</t>
    </r>
  </si>
  <si>
    <r>
      <t xml:space="preserve"> Use Name Manager to define the Maths Score column as </t>
    </r>
    <r>
      <rPr>
        <sz val="10"/>
        <color rgb="FF000000"/>
        <rFont val="Arial Unicode MS"/>
      </rPr>
      <t>MathScore</t>
    </r>
    <r>
      <rPr>
        <sz val="11"/>
        <color rgb="FF000000"/>
        <rFont val="Calibri"/>
      </rPr>
      <t xml:space="preserve"> and Student Name column as </t>
    </r>
    <r>
      <rPr>
        <sz val="10"/>
        <color rgb="FF000000"/>
        <rFont val="Arial Unicode MS"/>
      </rPr>
      <t>StudentName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</si>
  <si>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Using </t>
    </r>
    <r>
      <rPr>
        <sz val="10"/>
        <color rgb="FF000000"/>
        <rFont val="Arial Unicode MS"/>
      </rPr>
      <t>MAXIFS</t>
    </r>
    <r>
      <rPr>
        <sz val="11"/>
        <color rgb="FF000000"/>
        <rFont val="Calibri"/>
      </rPr>
      <t xml:space="preserve">, find the highest value in </t>
    </r>
    <r>
      <rPr>
        <sz val="10"/>
        <color rgb="FF000000"/>
        <rFont val="Arial Unicode MS"/>
      </rPr>
      <t>MathScore</t>
    </r>
    <r>
      <rPr>
        <sz val="11"/>
        <color rgb="FF000000"/>
        <rFont val="Calibri"/>
      </rPr>
      <t xml:space="preserve"> where the corresponding name in </t>
    </r>
    <r>
      <rPr>
        <sz val="10"/>
        <color rgb="FF000000"/>
        <rFont val="Arial Unicode MS"/>
      </rPr>
      <t>StudentName</t>
    </r>
    <r>
      <rPr>
        <sz val="11"/>
        <color rgb="FF000000"/>
        <rFont val="Calibri"/>
      </rPr>
      <t xml:space="preserve"> is "Lavisha".</t>
    </r>
  </si>
  <si>
    <t>Student Name</t>
  </si>
  <si>
    <r>
      <rPr>
        <sz val="11"/>
        <rFont val="Aptos Narrow"/>
      </rPr>
      <t>Create a data validation in yellow highlighted cell with below conditions.</t>
    </r>
  </si>
  <si>
    <r>
      <rPr>
        <sz val="11"/>
        <rFont val="Aptos Narrow"/>
      </rPr>
      <t>Q1. Write whole number between 0-10.</t>
    </r>
  </si>
  <si>
    <r>
      <rPr>
        <sz val="11"/>
        <rFont val="Aptos Narrow"/>
      </rPr>
      <t>Q2. Write a List of students attendence in the column.</t>
    </r>
  </si>
  <si>
    <r>
      <rPr>
        <sz val="11"/>
        <rFont val="Aptos Narrow"/>
      </rPr>
      <t>Q3. Allow to write date between 01-Jan-25 to 03-Aug-25.</t>
    </r>
  </si>
  <si>
    <r>
      <rPr>
        <sz val="11"/>
        <rFont val="Aptos Narrow"/>
      </rPr>
      <t>Q4. Allow to write time between 12:00 AM to 2:00 PM.</t>
    </r>
  </si>
  <si>
    <r>
      <rPr>
        <sz val="11"/>
        <rFont val="Aptos Narrow"/>
      </rPr>
      <t>Q5. Allow to write text length not more than 6.</t>
    </r>
  </si>
  <si>
    <t>Q1</t>
  </si>
  <si>
    <t>Q2</t>
  </si>
  <si>
    <t>Q3</t>
  </si>
  <si>
    <t>Q4</t>
  </si>
  <si>
    <t>Q5</t>
  </si>
  <si>
    <t>"Present"</t>
  </si>
  <si>
    <t>"Absent"</t>
  </si>
  <si>
    <t>hello</t>
  </si>
  <si>
    <t>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</si>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</sst>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6"/>
      <color rgb="FF000000"/>
      <name val="Calibri"/>
    </font>
    <font>
      <sz val="12"/>
      <color rgb="FF000000"/>
      <name val="Calibri"/>
    </font>
    <font>
      <sz val="11"/>
      <name val="Aptos Narrow"/>
    </font>
    <font>
      <b/>
      <sz val="12"/>
      <color rgb="FF000000"/>
      <name val="Calibri"/>
    </font>
    <font>
      <sz val="10"/>
      <color rgb="FF000000"/>
      <name val="Arial Unicode MS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4" fillId="0" borderId="1" xfId="0" applyFont="1" applyBorder="1">
      <alignment vertical="center"/>
    </xf>
    <xf numFmtId="0" fontId="5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0" fillId="4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0" fillId="2" borderId="1" xfId="0" applyFill="1" applyBorder="1">
      <alignment vertical="center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>
      <alignment vertical="center"/>
    </xf>
    <xf numFmtId="0" fontId="2" fillId="0" borderId="0" xfId="0" quotePrefix="1" applyFont="1" applyBorder="1" applyAlignment="1"/>
    <xf numFmtId="0" fontId="0" fillId="2" borderId="0" xfId="0" applyFill="1" applyBorder="1">
      <alignment vertical="center"/>
    </xf>
    <xf numFmtId="14" fontId="0" fillId="2" borderId="0" xfId="0" applyNumberFormat="1" applyFill="1">
      <alignment vertical="center"/>
    </xf>
    <xf numFmtId="18" fontId="0" fillId="2" borderId="0" xfId="0" applyNumberFormat="1" applyFill="1">
      <alignment vertical="center"/>
    </xf>
    <xf numFmtId="0" fontId="8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F8" sqref="F8"/>
    </sheetView>
  </sheetViews>
  <sheetFormatPr defaultColWidth="10" defaultRowHeight="14.4"/>
  <cols>
    <col min="1" max="1" width="7.5546875" style="22" bestFit="1" customWidth="1"/>
    <col min="2" max="2" width="7.88671875" style="22" bestFit="1" customWidth="1"/>
    <col min="3" max="3" width="6.77734375" style="22" bestFit="1" customWidth="1"/>
    <col min="4" max="5" width="8.109375" style="22" bestFit="1" customWidth="1"/>
    <col min="6" max="6" width="10" style="22"/>
    <col min="7" max="7" width="7.5546875" style="22" bestFit="1" customWidth="1"/>
    <col min="8" max="8" width="9.33203125" style="22" bestFit="1" customWidth="1"/>
    <col min="9" max="9" width="8.77734375" style="22" bestFit="1" customWidth="1"/>
    <col min="10" max="10" width="10.5546875" style="22" bestFit="1" customWidth="1"/>
    <col min="11" max="11" width="10.77734375" style="22" bestFit="1" customWidth="1"/>
    <col min="12" max="12" width="10" style="22"/>
    <col min="13" max="13" width="8.21875" style="22" bestFit="1" customWidth="1"/>
    <col min="14" max="14" width="7.109375" style="24" bestFit="1" customWidth="1"/>
    <col min="15" max="15" width="12.5546875" style="24" bestFit="1" customWidth="1"/>
    <col min="16" max="16" width="5.5546875" style="24" customWidth="1"/>
    <col min="17" max="17" width="6" style="24" bestFit="1" customWidth="1"/>
    <col min="18" max="18" width="10" style="24"/>
    <col min="19" max="19" width="10.6640625" style="24" bestFit="1" customWidth="1"/>
    <col min="20" max="20" width="12.88671875" style="24" bestFit="1" customWidth="1"/>
    <col min="21" max="16384" width="10" style="22"/>
  </cols>
  <sheetData>
    <row r="1" spans="1:20">
      <c r="A1" s="20" t="s">
        <v>1</v>
      </c>
      <c r="B1" s="20" t="s">
        <v>2</v>
      </c>
      <c r="C1" s="21" t="s">
        <v>3</v>
      </c>
      <c r="D1" s="21" t="s">
        <v>4</v>
      </c>
      <c r="E1" s="21" t="s">
        <v>6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1">
        <v>1</v>
      </c>
      <c r="O1" s="1">
        <v>2</v>
      </c>
      <c r="P1" s="1">
        <v>3</v>
      </c>
      <c r="Q1" s="1">
        <v>4</v>
      </c>
      <c r="R1" s="1">
        <v>5</v>
      </c>
      <c r="S1" s="1">
        <v>6</v>
      </c>
      <c r="T1" s="18">
        <v>7</v>
      </c>
    </row>
    <row r="2" spans="1:20">
      <c r="B2" s="22">
        <v>103</v>
      </c>
      <c r="C2" s="22" t="b">
        <v>0</v>
      </c>
      <c r="D2" s="22" t="e">
        <f>A1+B1</f>
        <v>#VALUE!</v>
      </c>
      <c r="E2" s="22" t="s">
        <v>14</v>
      </c>
      <c r="H2" s="23" t="s">
        <v>15</v>
      </c>
      <c r="I2" s="22" t="s">
        <v>16</v>
      </c>
      <c r="J2" s="22" t="s">
        <v>17</v>
      </c>
      <c r="K2" s="22" t="s">
        <v>18</v>
      </c>
      <c r="L2" s="22" t="s">
        <v>19</v>
      </c>
      <c r="M2" s="22" t="s">
        <v>5</v>
      </c>
      <c r="N2" s="19" t="str">
        <f>IF(ISBLANK(J2),"Missing","Present")</f>
        <v>Present</v>
      </c>
      <c r="O2" s="19">
        <f>IF(ISNUMBER(B2),B2*2,"Not a Number")</f>
        <v>206</v>
      </c>
      <c r="P2" s="19" t="str">
        <f>IF(ISTEXT(K2),"Ok","Check")</f>
        <v>Ok</v>
      </c>
      <c r="Q2" s="19" t="str">
        <f>IF(AND(ISNUMBER(B2),K2&lt;&gt;""),"Ready","False")</f>
        <v>Ready</v>
      </c>
      <c r="R2" s="19" t="str">
        <f>IF(OR(ISERROR(E2),ISBLANK(B2)),"Problem","False")</f>
        <v>False</v>
      </c>
      <c r="S2" s="19" t="str">
        <f>IF(NOT(ISTEXT(L2)),"Wrong Type","Looks Good")</f>
        <v>Looks Good</v>
      </c>
      <c r="T2" s="19" t="str">
        <f>IF(AND(ISNUMBER(B2),MOD(B2,2)=1),"Odd Number", "Even or Invalid")</f>
        <v>Odd Number</v>
      </c>
    </row>
    <row r="3" spans="1:20">
      <c r="A3" s="22" t="s">
        <v>20</v>
      </c>
      <c r="C3" s="22" t="b">
        <v>0</v>
      </c>
      <c r="E3" s="22">
        <v>1</v>
      </c>
      <c r="G3" s="22" t="s">
        <v>20</v>
      </c>
      <c r="H3" s="22">
        <v>564</v>
      </c>
      <c r="I3" s="22" t="s">
        <v>21</v>
      </c>
      <c r="J3" s="22" t="s">
        <v>22</v>
      </c>
      <c r="K3" s="22" t="s">
        <v>23</v>
      </c>
      <c r="L3" s="22" t="s">
        <v>24</v>
      </c>
      <c r="M3" s="22" t="s">
        <v>5</v>
      </c>
      <c r="N3" s="19" t="str">
        <f t="shared" ref="N3:N20" si="0">IF(ISBLANK(J3),"Missing","Present")</f>
        <v>Present</v>
      </c>
      <c r="O3" s="19" t="str">
        <f t="shared" ref="O3:O20" si="1">IF(ISNUMBER(B3),B3*2,"Not a Number")</f>
        <v>Not a Number</v>
      </c>
      <c r="P3" s="19" t="str">
        <f t="shared" ref="P3:P20" si="2">IF(ISTEXT(K3),"Ok","Check")</f>
        <v>Ok</v>
      </c>
      <c r="Q3" s="19" t="str">
        <f t="shared" ref="Q3:Q20" si="3">IF(AND(ISNUMBER(B3),K3&lt;&gt;""),"Ready","False")</f>
        <v>False</v>
      </c>
      <c r="R3" s="19" t="str">
        <f t="shared" ref="R3:R20" si="4">IF(OR(ISERROR(E3),ISBLANK(B3)),"Problem","False")</f>
        <v>Problem</v>
      </c>
      <c r="S3" s="19" t="str">
        <f t="shared" ref="S3:S20" si="5">IF(NOT(ISTEXT(L3)),"Wrong Type","Looks Good")</f>
        <v>Looks Good</v>
      </c>
      <c r="T3" s="19" t="str">
        <f t="shared" ref="T3:T20" si="6">IF(AND(ISNUMBER(B3),MOD(B3,2)=1),"Odd Number", "Even or Invalid")</f>
        <v>Even or Invalid</v>
      </c>
    </row>
    <row r="4" spans="1:20">
      <c r="A4" s="22" t="s">
        <v>25</v>
      </c>
      <c r="B4" s="22">
        <v>861</v>
      </c>
      <c r="C4" s="22" t="b">
        <v>0</v>
      </c>
      <c r="E4" s="22" t="s">
        <v>14</v>
      </c>
      <c r="G4" s="22" t="s">
        <v>25</v>
      </c>
      <c r="H4" s="22">
        <v>96</v>
      </c>
      <c r="I4" s="22" t="s">
        <v>21</v>
      </c>
      <c r="J4" s="22" t="s">
        <v>26</v>
      </c>
      <c r="K4" s="22" t="s">
        <v>27</v>
      </c>
      <c r="L4" s="22" t="s">
        <v>28</v>
      </c>
      <c r="M4" s="22" t="s">
        <v>29</v>
      </c>
      <c r="N4" s="19" t="str">
        <f t="shared" si="0"/>
        <v>Present</v>
      </c>
      <c r="O4" s="19">
        <f t="shared" si="1"/>
        <v>1722</v>
      </c>
      <c r="P4" s="19" t="str">
        <f t="shared" si="2"/>
        <v>Ok</v>
      </c>
      <c r="Q4" s="19" t="str">
        <f t="shared" si="3"/>
        <v>Ready</v>
      </c>
      <c r="R4" s="19" t="str">
        <f t="shared" si="4"/>
        <v>False</v>
      </c>
      <c r="S4" s="19" t="str">
        <f t="shared" si="5"/>
        <v>Looks Good</v>
      </c>
      <c r="T4" s="19" t="str">
        <f t="shared" si="6"/>
        <v>Odd Number</v>
      </c>
    </row>
    <row r="5" spans="1:20">
      <c r="A5" s="22" t="s">
        <v>30</v>
      </c>
      <c r="B5" s="22">
        <v>271</v>
      </c>
      <c r="C5" s="22" t="b">
        <v>0</v>
      </c>
      <c r="D5" s="22" t="e">
        <f>A4+B4</f>
        <v>#VALUE!</v>
      </c>
      <c r="E5" s="22">
        <v>3</v>
      </c>
      <c r="G5" s="22" t="s">
        <v>30</v>
      </c>
      <c r="H5" s="22">
        <v>900</v>
      </c>
      <c r="I5" s="22" t="s">
        <v>31</v>
      </c>
      <c r="J5" s="22" t="s">
        <v>32</v>
      </c>
      <c r="K5" s="22" t="s">
        <v>18</v>
      </c>
      <c r="L5" s="22" t="s">
        <v>33</v>
      </c>
      <c r="M5" s="22" t="s">
        <v>5</v>
      </c>
      <c r="N5" s="19" t="str">
        <f t="shared" si="0"/>
        <v>Present</v>
      </c>
      <c r="O5" s="19">
        <f t="shared" si="1"/>
        <v>542</v>
      </c>
      <c r="P5" s="19" t="str">
        <f t="shared" si="2"/>
        <v>Ok</v>
      </c>
      <c r="Q5" s="19" t="str">
        <f t="shared" si="3"/>
        <v>Ready</v>
      </c>
      <c r="R5" s="19" t="str">
        <f t="shared" si="4"/>
        <v>False</v>
      </c>
      <c r="S5" s="19" t="str">
        <f t="shared" si="5"/>
        <v>Looks Good</v>
      </c>
      <c r="T5" s="19" t="str">
        <f t="shared" si="6"/>
        <v>Odd Number</v>
      </c>
    </row>
    <row r="6" spans="1:20">
      <c r="A6" s="22" t="s">
        <v>34</v>
      </c>
      <c r="B6" s="22">
        <v>107</v>
      </c>
      <c r="C6" s="22" t="b">
        <v>0</v>
      </c>
      <c r="E6" s="22">
        <v>4</v>
      </c>
      <c r="G6" s="22" t="s">
        <v>34</v>
      </c>
      <c r="H6" s="22">
        <v>734</v>
      </c>
      <c r="I6" s="22" t="s">
        <v>16</v>
      </c>
      <c r="J6" s="22" t="s">
        <v>35</v>
      </c>
      <c r="K6" s="22" t="s">
        <v>23</v>
      </c>
      <c r="L6" s="22" t="s">
        <v>36</v>
      </c>
      <c r="M6" s="22" t="s">
        <v>5</v>
      </c>
      <c r="N6" s="19" t="str">
        <f t="shared" si="0"/>
        <v>Present</v>
      </c>
      <c r="O6" s="19">
        <f t="shared" si="1"/>
        <v>214</v>
      </c>
      <c r="P6" s="19" t="str">
        <f t="shared" si="2"/>
        <v>Ok</v>
      </c>
      <c r="Q6" s="19" t="str">
        <f t="shared" si="3"/>
        <v>Ready</v>
      </c>
      <c r="R6" s="19" t="str">
        <f t="shared" si="4"/>
        <v>False</v>
      </c>
      <c r="S6" s="19" t="str">
        <f t="shared" si="5"/>
        <v>Looks Good</v>
      </c>
      <c r="T6" s="19" t="str">
        <f t="shared" si="6"/>
        <v>Odd Number</v>
      </c>
    </row>
    <row r="7" spans="1:20">
      <c r="A7" s="22" t="s">
        <v>37</v>
      </c>
      <c r="B7" s="22">
        <v>72</v>
      </c>
      <c r="C7" s="22" t="b">
        <v>0</v>
      </c>
      <c r="E7" s="22" t="e">
        <v>#VALUE!</v>
      </c>
      <c r="G7" s="22" t="s">
        <v>37</v>
      </c>
      <c r="H7" s="22">
        <v>485</v>
      </c>
      <c r="I7" s="22" t="s">
        <v>38</v>
      </c>
      <c r="J7" s="22" t="s">
        <v>39</v>
      </c>
      <c r="K7" s="22" t="s">
        <v>23</v>
      </c>
      <c r="L7" s="22" t="s">
        <v>40</v>
      </c>
      <c r="M7" s="22" t="s">
        <v>41</v>
      </c>
      <c r="N7" s="19" t="str">
        <f t="shared" si="0"/>
        <v>Present</v>
      </c>
      <c r="O7" s="19">
        <f t="shared" si="1"/>
        <v>144</v>
      </c>
      <c r="P7" s="19" t="str">
        <f t="shared" si="2"/>
        <v>Ok</v>
      </c>
      <c r="Q7" s="19" t="str">
        <f t="shared" si="3"/>
        <v>Ready</v>
      </c>
      <c r="R7" s="19" t="str">
        <f t="shared" si="4"/>
        <v>Problem</v>
      </c>
      <c r="S7" s="19" t="str">
        <f t="shared" si="5"/>
        <v>Looks Good</v>
      </c>
      <c r="T7" s="19" t="str">
        <f t="shared" si="6"/>
        <v>Even or Invalid</v>
      </c>
    </row>
    <row r="8" spans="1:20">
      <c r="A8" s="22" t="s">
        <v>42</v>
      </c>
      <c r="B8" s="22">
        <v>701</v>
      </c>
      <c r="C8" s="22" t="e">
        <f>#REF!+A7</f>
        <v>#REF!</v>
      </c>
      <c r="D8" s="22" t="e">
        <f>A7+B7</f>
        <v>#VALUE!</v>
      </c>
      <c r="E8" s="22">
        <v>6</v>
      </c>
      <c r="G8" s="22" t="s">
        <v>42</v>
      </c>
      <c r="H8" s="22">
        <v>407</v>
      </c>
      <c r="I8" s="22" t="s">
        <v>21</v>
      </c>
      <c r="J8" s="22" t="s">
        <v>43</v>
      </c>
      <c r="K8" s="22" t="s">
        <v>27</v>
      </c>
      <c r="L8" s="22" t="s">
        <v>44</v>
      </c>
      <c r="M8" s="22" t="s">
        <v>5</v>
      </c>
      <c r="N8" s="19" t="str">
        <f t="shared" si="0"/>
        <v>Present</v>
      </c>
      <c r="O8" s="19">
        <f t="shared" si="1"/>
        <v>1402</v>
      </c>
      <c r="P8" s="19" t="str">
        <f t="shared" si="2"/>
        <v>Ok</v>
      </c>
      <c r="Q8" s="19" t="str">
        <f t="shared" si="3"/>
        <v>Ready</v>
      </c>
      <c r="R8" s="19" t="str">
        <f t="shared" si="4"/>
        <v>False</v>
      </c>
      <c r="S8" s="19" t="str">
        <f t="shared" si="5"/>
        <v>Looks Good</v>
      </c>
      <c r="T8" s="19" t="str">
        <f t="shared" si="6"/>
        <v>Odd Number</v>
      </c>
    </row>
    <row r="9" spans="1:20">
      <c r="A9" s="22" t="s">
        <v>45</v>
      </c>
      <c r="B9" s="22" t="s">
        <v>46</v>
      </c>
      <c r="C9" s="22" t="b">
        <v>0</v>
      </c>
      <c r="E9" s="22">
        <v>7</v>
      </c>
      <c r="G9" s="22" t="s">
        <v>45</v>
      </c>
      <c r="H9" s="22">
        <v>231</v>
      </c>
      <c r="I9" s="22" t="s">
        <v>16</v>
      </c>
      <c r="J9" s="22" t="s">
        <v>47</v>
      </c>
      <c r="K9" s="22" t="s">
        <v>18</v>
      </c>
      <c r="L9" s="22" t="s">
        <v>48</v>
      </c>
      <c r="M9" s="22" t="s">
        <v>49</v>
      </c>
      <c r="N9" s="19" t="str">
        <f t="shared" si="0"/>
        <v>Present</v>
      </c>
      <c r="O9" s="19" t="str">
        <f t="shared" si="1"/>
        <v>Not a Number</v>
      </c>
      <c r="P9" s="19" t="str">
        <f t="shared" si="2"/>
        <v>Ok</v>
      </c>
      <c r="Q9" s="19" t="str">
        <f t="shared" si="3"/>
        <v>False</v>
      </c>
      <c r="R9" s="19" t="str">
        <f t="shared" si="4"/>
        <v>False</v>
      </c>
      <c r="S9" s="19" t="str">
        <f t="shared" si="5"/>
        <v>Looks Good</v>
      </c>
      <c r="T9" s="19" t="e">
        <f t="shared" si="6"/>
        <v>#VALUE!</v>
      </c>
    </row>
    <row r="10" spans="1:20">
      <c r="A10" s="22" t="s">
        <v>50</v>
      </c>
      <c r="B10" s="22">
        <v>615</v>
      </c>
      <c r="C10" s="22" t="s">
        <v>51</v>
      </c>
      <c r="E10" s="22">
        <v>8</v>
      </c>
      <c r="G10" s="22" t="s">
        <v>50</v>
      </c>
      <c r="H10" s="22" t="s">
        <v>52</v>
      </c>
      <c r="I10" s="22" t="s">
        <v>21</v>
      </c>
      <c r="J10" s="22" t="s">
        <v>53</v>
      </c>
      <c r="K10" s="22" t="s">
        <v>18</v>
      </c>
      <c r="L10" s="22" t="s">
        <v>54</v>
      </c>
      <c r="M10" s="22" t="s">
        <v>55</v>
      </c>
      <c r="N10" s="19" t="str">
        <f t="shared" si="0"/>
        <v>Present</v>
      </c>
      <c r="O10" s="19">
        <f t="shared" si="1"/>
        <v>1230</v>
      </c>
      <c r="P10" s="19" t="str">
        <f t="shared" si="2"/>
        <v>Ok</v>
      </c>
      <c r="Q10" s="19" t="str">
        <f t="shared" si="3"/>
        <v>Ready</v>
      </c>
      <c r="R10" s="19" t="str">
        <f t="shared" si="4"/>
        <v>False</v>
      </c>
      <c r="S10" s="19" t="str">
        <f t="shared" si="5"/>
        <v>Looks Good</v>
      </c>
      <c r="T10" s="19" t="str">
        <f t="shared" si="6"/>
        <v>Odd Number</v>
      </c>
    </row>
    <row r="11" spans="1:20">
      <c r="A11" s="22" t="s">
        <v>56</v>
      </c>
      <c r="B11" s="22">
        <v>122</v>
      </c>
      <c r="C11" s="22" t="b">
        <v>0</v>
      </c>
      <c r="D11" s="22" t="e">
        <f>A10+B10</f>
        <v>#VALUE!</v>
      </c>
      <c r="E11" s="22">
        <v>9</v>
      </c>
      <c r="G11" s="22" t="s">
        <v>56</v>
      </c>
      <c r="H11" s="22">
        <v>655</v>
      </c>
      <c r="I11" s="22" t="s">
        <v>21</v>
      </c>
      <c r="J11" s="22" t="s">
        <v>57</v>
      </c>
      <c r="K11" s="22" t="s">
        <v>23</v>
      </c>
      <c r="L11" s="22" t="s">
        <v>58</v>
      </c>
      <c r="M11" s="22" t="s">
        <v>5</v>
      </c>
      <c r="N11" s="19" t="str">
        <f t="shared" si="0"/>
        <v>Present</v>
      </c>
      <c r="O11" s="19">
        <f t="shared" si="1"/>
        <v>244</v>
      </c>
      <c r="P11" s="19" t="str">
        <f t="shared" si="2"/>
        <v>Ok</v>
      </c>
      <c r="Q11" s="19" t="str">
        <f t="shared" si="3"/>
        <v>Ready</v>
      </c>
      <c r="R11" s="19" t="str">
        <f t="shared" si="4"/>
        <v>False</v>
      </c>
      <c r="S11" s="19" t="str">
        <f t="shared" si="5"/>
        <v>Looks Good</v>
      </c>
      <c r="T11" s="19" t="str">
        <f t="shared" si="6"/>
        <v>Even or Invalid</v>
      </c>
    </row>
    <row r="12" spans="1:20">
      <c r="B12" s="22">
        <v>467</v>
      </c>
      <c r="C12" s="22" t="b">
        <v>0</v>
      </c>
      <c r="E12" s="22" t="s">
        <v>14</v>
      </c>
      <c r="H12" s="22">
        <v>171</v>
      </c>
      <c r="I12" s="22" t="s">
        <v>38</v>
      </c>
      <c r="J12" s="22" t="s">
        <v>59</v>
      </c>
      <c r="K12" s="22" t="s">
        <v>23</v>
      </c>
      <c r="L12" s="22" t="s">
        <v>60</v>
      </c>
      <c r="M12" s="22" t="s">
        <v>5</v>
      </c>
      <c r="N12" s="19" t="str">
        <f t="shared" si="0"/>
        <v>Present</v>
      </c>
      <c r="O12" s="19">
        <f t="shared" si="1"/>
        <v>934</v>
      </c>
      <c r="P12" s="19" t="str">
        <f t="shared" si="2"/>
        <v>Ok</v>
      </c>
      <c r="Q12" s="19" t="str">
        <f t="shared" si="3"/>
        <v>Ready</v>
      </c>
      <c r="R12" s="19" t="str">
        <f t="shared" si="4"/>
        <v>False</v>
      </c>
      <c r="S12" s="19" t="str">
        <f t="shared" si="5"/>
        <v>Looks Good</v>
      </c>
      <c r="T12" s="19" t="str">
        <f t="shared" si="6"/>
        <v>Odd Number</v>
      </c>
    </row>
    <row r="13" spans="1:20">
      <c r="A13" s="22" t="s">
        <v>61</v>
      </c>
      <c r="C13" s="22" t="b">
        <v>1</v>
      </c>
      <c r="E13" s="22">
        <v>11</v>
      </c>
      <c r="G13" s="22" t="s">
        <v>61</v>
      </c>
      <c r="H13" s="22">
        <v>541</v>
      </c>
      <c r="I13" s="22" t="s">
        <v>62</v>
      </c>
      <c r="J13" s="22" t="s">
        <v>63</v>
      </c>
      <c r="K13" s="22" t="s">
        <v>27</v>
      </c>
      <c r="L13" s="22" t="s">
        <v>64</v>
      </c>
      <c r="M13" s="22" t="s">
        <v>65</v>
      </c>
      <c r="N13" s="19" t="str">
        <f t="shared" si="0"/>
        <v>Present</v>
      </c>
      <c r="O13" s="19" t="str">
        <f t="shared" si="1"/>
        <v>Not a Number</v>
      </c>
      <c r="P13" s="19" t="str">
        <f t="shared" si="2"/>
        <v>Ok</v>
      </c>
      <c r="Q13" s="19" t="str">
        <f t="shared" si="3"/>
        <v>False</v>
      </c>
      <c r="R13" s="19" t="str">
        <f t="shared" si="4"/>
        <v>Problem</v>
      </c>
      <c r="S13" s="19" t="str">
        <f t="shared" si="5"/>
        <v>Looks Good</v>
      </c>
      <c r="T13" s="19" t="str">
        <f t="shared" si="6"/>
        <v>Even or Invalid</v>
      </c>
    </row>
    <row r="14" spans="1:20">
      <c r="A14" s="22" t="s">
        <v>66</v>
      </c>
      <c r="B14" s="22">
        <v>331</v>
      </c>
      <c r="C14" s="22" t="b">
        <v>0</v>
      </c>
      <c r="D14" s="22" t="e">
        <f>A13+B13</f>
        <v>#VALUE!</v>
      </c>
      <c r="E14" s="22">
        <v>12</v>
      </c>
      <c r="G14" s="22" t="s">
        <v>66</v>
      </c>
      <c r="H14" s="22">
        <v>36</v>
      </c>
      <c r="I14" s="22" t="s">
        <v>31</v>
      </c>
      <c r="J14" s="22" t="s">
        <v>67</v>
      </c>
      <c r="K14" s="22" t="s">
        <v>27</v>
      </c>
      <c r="L14" s="22" t="s">
        <v>68</v>
      </c>
      <c r="M14" s="22" t="s">
        <v>5</v>
      </c>
      <c r="N14" s="19" t="str">
        <f t="shared" si="0"/>
        <v>Present</v>
      </c>
      <c r="O14" s="19">
        <f t="shared" si="1"/>
        <v>662</v>
      </c>
      <c r="P14" s="19" t="str">
        <f t="shared" si="2"/>
        <v>Ok</v>
      </c>
      <c r="Q14" s="19" t="str">
        <f t="shared" si="3"/>
        <v>Ready</v>
      </c>
      <c r="R14" s="19" t="str">
        <f t="shared" si="4"/>
        <v>False</v>
      </c>
      <c r="S14" s="19" t="str">
        <f t="shared" si="5"/>
        <v>Looks Good</v>
      </c>
      <c r="T14" s="19" t="str">
        <f t="shared" si="6"/>
        <v>Odd Number</v>
      </c>
    </row>
    <row r="15" spans="1:20">
      <c r="A15" s="22" t="s">
        <v>69</v>
      </c>
      <c r="B15" s="22">
        <v>459</v>
      </c>
      <c r="C15" s="22" t="b">
        <v>1</v>
      </c>
      <c r="E15" s="22">
        <v>13</v>
      </c>
      <c r="G15" s="22" t="s">
        <v>69</v>
      </c>
      <c r="H15" s="22">
        <v>525</v>
      </c>
      <c r="I15" s="22" t="s">
        <v>31</v>
      </c>
      <c r="J15" s="22" t="s">
        <v>70</v>
      </c>
      <c r="K15" s="22" t="s">
        <v>18</v>
      </c>
      <c r="L15" s="22" t="s">
        <v>71</v>
      </c>
      <c r="M15" s="22" t="s">
        <v>72</v>
      </c>
      <c r="N15" s="19" t="str">
        <f t="shared" si="0"/>
        <v>Present</v>
      </c>
      <c r="O15" s="19">
        <f t="shared" si="1"/>
        <v>918</v>
      </c>
      <c r="P15" s="19" t="str">
        <f t="shared" si="2"/>
        <v>Ok</v>
      </c>
      <c r="Q15" s="19" t="str">
        <f t="shared" si="3"/>
        <v>Ready</v>
      </c>
      <c r="R15" s="19" t="str">
        <f t="shared" si="4"/>
        <v>False</v>
      </c>
      <c r="S15" s="19" t="str">
        <f t="shared" si="5"/>
        <v>Looks Good</v>
      </c>
      <c r="T15" s="19" t="str">
        <f t="shared" si="6"/>
        <v>Odd Number</v>
      </c>
    </row>
    <row r="16" spans="1:20">
      <c r="A16" s="22" t="s">
        <v>73</v>
      </c>
      <c r="B16" s="22">
        <v>88</v>
      </c>
      <c r="E16" s="22">
        <v>14</v>
      </c>
      <c r="G16" s="22" t="s">
        <v>73</v>
      </c>
      <c r="H16" s="22">
        <v>160</v>
      </c>
      <c r="I16" s="22" t="s">
        <v>38</v>
      </c>
      <c r="J16" s="22" t="s">
        <v>74</v>
      </c>
      <c r="K16" s="22" t="s">
        <v>18</v>
      </c>
      <c r="L16" s="22" t="s">
        <v>75</v>
      </c>
      <c r="M16" s="22" t="s">
        <v>76</v>
      </c>
      <c r="N16" s="19" t="str">
        <f t="shared" si="0"/>
        <v>Present</v>
      </c>
      <c r="O16" s="19">
        <f t="shared" si="1"/>
        <v>176</v>
      </c>
      <c r="P16" s="19" t="str">
        <f t="shared" si="2"/>
        <v>Ok</v>
      </c>
      <c r="Q16" s="19" t="str">
        <f t="shared" si="3"/>
        <v>Ready</v>
      </c>
      <c r="R16" s="19" t="str">
        <f t="shared" si="4"/>
        <v>False</v>
      </c>
      <c r="S16" s="19" t="str">
        <f t="shared" si="5"/>
        <v>Looks Good</v>
      </c>
      <c r="T16" s="19" t="str">
        <f t="shared" si="6"/>
        <v>Even or Invalid</v>
      </c>
    </row>
    <row r="17" spans="1:20">
      <c r="A17" s="22" t="s">
        <v>77</v>
      </c>
      <c r="B17" s="22">
        <v>373</v>
      </c>
      <c r="C17" s="22" t="b">
        <v>0</v>
      </c>
      <c r="D17" s="22" t="e">
        <f>A16+B16</f>
        <v>#VALUE!</v>
      </c>
      <c r="E17" s="22" t="s">
        <v>14</v>
      </c>
      <c r="G17" s="22" t="s">
        <v>77</v>
      </c>
      <c r="H17" s="22" t="s">
        <v>14</v>
      </c>
      <c r="I17" s="22" t="s">
        <v>21</v>
      </c>
      <c r="J17" s="22" t="s">
        <v>78</v>
      </c>
      <c r="K17" s="22" t="s">
        <v>23</v>
      </c>
      <c r="L17" s="22" t="s">
        <v>79</v>
      </c>
      <c r="M17" s="22" t="s">
        <v>80</v>
      </c>
      <c r="N17" s="19" t="str">
        <f t="shared" si="0"/>
        <v>Present</v>
      </c>
      <c r="O17" s="19">
        <f t="shared" si="1"/>
        <v>746</v>
      </c>
      <c r="P17" s="19" t="str">
        <f t="shared" si="2"/>
        <v>Ok</v>
      </c>
      <c r="Q17" s="19" t="str">
        <f t="shared" si="3"/>
        <v>Ready</v>
      </c>
      <c r="R17" s="19" t="str">
        <f t="shared" si="4"/>
        <v>False</v>
      </c>
      <c r="S17" s="19" t="str">
        <f t="shared" si="5"/>
        <v>Looks Good</v>
      </c>
      <c r="T17" s="19" t="str">
        <f t="shared" si="6"/>
        <v>Odd Number</v>
      </c>
    </row>
    <row r="18" spans="1:20">
      <c r="A18" s="22" t="s">
        <v>81</v>
      </c>
      <c r="C18" s="22" t="b">
        <v>1</v>
      </c>
      <c r="E18" s="22">
        <v>16</v>
      </c>
      <c r="G18" s="22" t="s">
        <v>81</v>
      </c>
      <c r="I18" s="22" t="s">
        <v>16</v>
      </c>
      <c r="J18" s="22" t="s">
        <v>82</v>
      </c>
      <c r="K18" s="22" t="s">
        <v>18</v>
      </c>
      <c r="L18" s="22" t="s">
        <v>83</v>
      </c>
      <c r="M18" s="22" t="s">
        <v>84</v>
      </c>
      <c r="N18" s="19" t="str">
        <f t="shared" si="0"/>
        <v>Present</v>
      </c>
      <c r="O18" s="19" t="str">
        <f t="shared" si="1"/>
        <v>Not a Number</v>
      </c>
      <c r="P18" s="19" t="str">
        <f t="shared" si="2"/>
        <v>Ok</v>
      </c>
      <c r="Q18" s="19" t="str">
        <f t="shared" si="3"/>
        <v>False</v>
      </c>
      <c r="R18" s="19" t="str">
        <f t="shared" si="4"/>
        <v>Problem</v>
      </c>
      <c r="S18" s="19" t="str">
        <f t="shared" si="5"/>
        <v>Looks Good</v>
      </c>
      <c r="T18" s="19" t="str">
        <f t="shared" si="6"/>
        <v>Even or Invalid</v>
      </c>
    </row>
    <row r="19" spans="1:20">
      <c r="A19" s="22" t="s">
        <v>85</v>
      </c>
      <c r="B19" s="22">
        <v>872</v>
      </c>
      <c r="C19" s="22" t="b">
        <v>0</v>
      </c>
      <c r="E19" s="22">
        <v>17</v>
      </c>
      <c r="G19" s="22" t="s">
        <v>85</v>
      </c>
      <c r="H19" s="22">
        <v>243</v>
      </c>
      <c r="I19" s="22" t="s">
        <v>21</v>
      </c>
      <c r="J19" s="22" t="s">
        <v>86</v>
      </c>
      <c r="K19" s="22" t="s">
        <v>27</v>
      </c>
      <c r="L19" s="22" t="s">
        <v>87</v>
      </c>
      <c r="M19" s="22" t="s">
        <v>88</v>
      </c>
      <c r="N19" s="19" t="str">
        <f t="shared" si="0"/>
        <v>Present</v>
      </c>
      <c r="O19" s="19">
        <f t="shared" si="1"/>
        <v>1744</v>
      </c>
      <c r="P19" s="19" t="str">
        <f t="shared" si="2"/>
        <v>Ok</v>
      </c>
      <c r="Q19" s="19" t="str">
        <f t="shared" si="3"/>
        <v>Ready</v>
      </c>
      <c r="R19" s="19" t="str">
        <f t="shared" si="4"/>
        <v>False</v>
      </c>
      <c r="S19" s="19" t="str">
        <f t="shared" si="5"/>
        <v>Looks Good</v>
      </c>
      <c r="T19" s="19" t="str">
        <f t="shared" si="6"/>
        <v>Even or Invalid</v>
      </c>
    </row>
    <row r="20" spans="1:20">
      <c r="A20" s="22" t="s">
        <v>89</v>
      </c>
      <c r="B20" s="22">
        <v>664</v>
      </c>
      <c r="C20" s="22" t="b">
        <v>1</v>
      </c>
      <c r="D20" s="22" t="e">
        <f>A19+B19</f>
        <v>#VALUE!</v>
      </c>
      <c r="E20" s="22">
        <v>18</v>
      </c>
      <c r="G20" s="22" t="s">
        <v>89</v>
      </c>
      <c r="H20" s="22">
        <v>86</v>
      </c>
      <c r="I20" s="22" t="s">
        <v>38</v>
      </c>
      <c r="J20" s="22" t="s">
        <v>90</v>
      </c>
      <c r="K20" s="22" t="s">
        <v>27</v>
      </c>
      <c r="L20" s="22" t="s">
        <v>91</v>
      </c>
      <c r="M20" s="22" t="s">
        <v>5</v>
      </c>
      <c r="N20" s="19" t="str">
        <f t="shared" si="0"/>
        <v>Present</v>
      </c>
      <c r="O20" s="19">
        <f t="shared" si="1"/>
        <v>1328</v>
      </c>
      <c r="P20" s="19" t="str">
        <f t="shared" si="2"/>
        <v>Ok</v>
      </c>
      <c r="Q20" s="19" t="str">
        <f t="shared" si="3"/>
        <v>Ready</v>
      </c>
      <c r="R20" s="19" t="str">
        <f t="shared" si="4"/>
        <v>False</v>
      </c>
      <c r="S20" s="19" t="str">
        <f t="shared" si="5"/>
        <v>Looks Good</v>
      </c>
      <c r="T20" s="19" t="str">
        <f t="shared" si="6"/>
        <v>Even or Invalid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ColWidth="10" defaultRowHeight="14.4"/>
  <cols>
    <col min="1" max="1" width="14.5546875" customWidth="1"/>
    <col min="2" max="2" width="11.109375" customWidth="1"/>
    <col min="3" max="3" width="16.5546875" customWidth="1"/>
  </cols>
  <sheetData>
    <row r="1" spans="1:5" s="14" customFormat="1">
      <c r="A1" s="13" t="s">
        <v>115</v>
      </c>
      <c r="B1" s="13" t="s">
        <v>103</v>
      </c>
      <c r="C1" s="13" t="s">
        <v>104</v>
      </c>
      <c r="D1" s="17">
        <v>8.1</v>
      </c>
      <c r="E1" s="17">
        <v>8.1999999999999993</v>
      </c>
    </row>
    <row r="2" spans="1:5">
      <c r="A2" s="2" t="s">
        <v>52</v>
      </c>
      <c r="B2" s="2">
        <v>1</v>
      </c>
      <c r="C2" s="2">
        <v>94</v>
      </c>
      <c r="D2" s="19">
        <f>COUNTIF(StudentName,"Mehak")</f>
        <v>3</v>
      </c>
      <c r="E2" s="19">
        <f>_xlfn.MAXIFS(MathsScore,StudentName,"Lavisha")</f>
        <v>89</v>
      </c>
    </row>
    <row r="3" spans="1:5">
      <c r="A3" s="2" t="s">
        <v>105</v>
      </c>
      <c r="B3" s="2">
        <v>2</v>
      </c>
      <c r="C3" s="2">
        <v>97</v>
      </c>
    </row>
    <row r="4" spans="1:5">
      <c r="A4" s="2" t="s">
        <v>106</v>
      </c>
      <c r="B4" s="2">
        <v>3</v>
      </c>
      <c r="C4" s="2">
        <v>50</v>
      </c>
    </row>
    <row r="5" spans="1:5">
      <c r="A5" s="2" t="s">
        <v>107</v>
      </c>
      <c r="B5" s="2">
        <v>4</v>
      </c>
      <c r="C5" s="2">
        <v>53</v>
      </c>
    </row>
    <row r="6" spans="1:5">
      <c r="A6" s="2" t="s">
        <v>108</v>
      </c>
      <c r="B6" s="2">
        <v>5</v>
      </c>
      <c r="C6" s="2">
        <v>53</v>
      </c>
    </row>
    <row r="7" spans="1:5">
      <c r="A7" s="2" t="s">
        <v>109</v>
      </c>
      <c r="B7" s="2">
        <v>6</v>
      </c>
      <c r="C7" s="2">
        <v>89</v>
      </c>
    </row>
    <row r="8" spans="1:5">
      <c r="A8" s="2" t="s">
        <v>110</v>
      </c>
      <c r="B8" s="2">
        <v>7</v>
      </c>
      <c r="C8" s="2">
        <v>59</v>
      </c>
    </row>
    <row r="9" spans="1:5">
      <c r="A9" s="2" t="s">
        <v>52</v>
      </c>
      <c r="B9" s="2">
        <v>8</v>
      </c>
      <c r="C9" s="2">
        <v>69</v>
      </c>
    </row>
    <row r="10" spans="1:5">
      <c r="A10" s="2" t="s">
        <v>105</v>
      </c>
      <c r="B10" s="2">
        <v>9</v>
      </c>
      <c r="C10" s="2">
        <v>71</v>
      </c>
    </row>
    <row r="11" spans="1:5">
      <c r="A11" s="2" t="s">
        <v>106</v>
      </c>
      <c r="B11" s="2">
        <v>10</v>
      </c>
      <c r="C11" s="2">
        <v>86</v>
      </c>
    </row>
    <row r="12" spans="1:5">
      <c r="A12" s="2" t="s">
        <v>107</v>
      </c>
      <c r="B12" s="2">
        <v>11</v>
      </c>
      <c r="C12" s="2">
        <v>73</v>
      </c>
    </row>
    <row r="13" spans="1:5">
      <c r="A13" s="2" t="s">
        <v>108</v>
      </c>
      <c r="B13" s="2">
        <v>12</v>
      </c>
      <c r="C13" s="2">
        <v>56</v>
      </c>
    </row>
    <row r="14" spans="1:5">
      <c r="A14" s="2" t="s">
        <v>109</v>
      </c>
      <c r="B14" s="2">
        <v>13</v>
      </c>
      <c r="C14" s="2">
        <v>74</v>
      </c>
    </row>
    <row r="15" spans="1:5">
      <c r="A15" s="2" t="s">
        <v>110</v>
      </c>
      <c r="B15" s="2">
        <v>14</v>
      </c>
      <c r="C15" s="2">
        <v>74</v>
      </c>
    </row>
    <row r="16" spans="1:5">
      <c r="A16" s="2" t="s">
        <v>52</v>
      </c>
      <c r="B16" s="2">
        <v>15</v>
      </c>
      <c r="C16" s="2">
        <v>62</v>
      </c>
    </row>
    <row r="17" spans="1:3">
      <c r="A17" s="2" t="s">
        <v>105</v>
      </c>
      <c r="B17" s="2">
        <v>16</v>
      </c>
      <c r="C17" s="2">
        <v>51</v>
      </c>
    </row>
    <row r="18" spans="1:3">
      <c r="A18" s="2" t="s">
        <v>106</v>
      </c>
      <c r="B18" s="2">
        <v>17</v>
      </c>
      <c r="C18" s="2">
        <v>88</v>
      </c>
    </row>
    <row r="19" spans="1:3">
      <c r="A19" s="2" t="s">
        <v>107</v>
      </c>
      <c r="B19" s="2">
        <v>18</v>
      </c>
      <c r="C19" s="2">
        <v>89</v>
      </c>
    </row>
    <row r="20" spans="1:3">
      <c r="A20" s="2" t="s">
        <v>108</v>
      </c>
      <c r="B20" s="2">
        <v>19</v>
      </c>
      <c r="C20" s="2">
        <v>73</v>
      </c>
    </row>
    <row r="21" spans="1:3">
      <c r="A21" s="2" t="s">
        <v>109</v>
      </c>
      <c r="B21" s="2">
        <v>20</v>
      </c>
      <c r="C21" s="2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7" sqref="B7:B9"/>
    </sheetView>
  </sheetViews>
  <sheetFormatPr defaultColWidth="10" defaultRowHeight="14.4"/>
  <cols>
    <col min="1" max="1" width="9.109375" style="3"/>
    <col min="2" max="2" width="100" customWidth="1"/>
    <col min="3" max="3" width="79.6640625" customWidth="1"/>
  </cols>
  <sheetData>
    <row r="1" spans="1:3" ht="37.5" customHeight="1">
      <c r="A1" s="12" t="s">
        <v>100</v>
      </c>
      <c r="B1" s="12"/>
      <c r="C1" s="12"/>
    </row>
    <row r="2" spans="1:3">
      <c r="A2" s="4" t="s">
        <v>98</v>
      </c>
      <c r="B2" s="5" t="s">
        <v>99</v>
      </c>
      <c r="C2" s="8" t="s">
        <v>101</v>
      </c>
    </row>
    <row r="3" spans="1:3" ht="15.6">
      <c r="A3" s="4">
        <v>1</v>
      </c>
      <c r="B3" s="6" t="s">
        <v>0</v>
      </c>
      <c r="C3" s="8"/>
    </row>
    <row r="4" spans="1:3" ht="15.6">
      <c r="A4" s="4">
        <v>2</v>
      </c>
      <c r="B4" s="6" t="s">
        <v>92</v>
      </c>
      <c r="C4" s="8"/>
    </row>
    <row r="5" spans="1:3" ht="15.6">
      <c r="A5" s="4">
        <v>3</v>
      </c>
      <c r="B5" s="6" t="s">
        <v>93</v>
      </c>
      <c r="C5" s="8"/>
    </row>
    <row r="6" spans="1:3" ht="15.6">
      <c r="A6" s="4">
        <v>4</v>
      </c>
      <c r="B6" s="6" t="s">
        <v>94</v>
      </c>
      <c r="C6" s="8"/>
    </row>
    <row r="7" spans="1:3" ht="15.6">
      <c r="A7" s="4">
        <v>5</v>
      </c>
      <c r="B7" s="6" t="s">
        <v>95</v>
      </c>
      <c r="C7" s="8"/>
    </row>
    <row r="8" spans="1:3" ht="15.6">
      <c r="A8" s="4">
        <v>6</v>
      </c>
      <c r="B8" s="6" t="s">
        <v>96</v>
      </c>
      <c r="C8" s="8"/>
    </row>
    <row r="9" spans="1:3" ht="15.6">
      <c r="A9" s="4">
        <v>7</v>
      </c>
      <c r="B9" s="6" t="s">
        <v>97</v>
      </c>
      <c r="C9" s="8"/>
    </row>
    <row r="10" spans="1:3">
      <c r="A10" s="4">
        <v>8</v>
      </c>
      <c r="B10" s="5" t="s">
        <v>113</v>
      </c>
      <c r="C10" s="9" t="s">
        <v>111</v>
      </c>
    </row>
    <row r="11" spans="1:3">
      <c r="A11" s="4">
        <v>8.1</v>
      </c>
      <c r="B11" s="5" t="s">
        <v>112</v>
      </c>
      <c r="C11" s="10"/>
    </row>
    <row r="12" spans="1:3">
      <c r="A12" s="4">
        <v>8.1999999999999993</v>
      </c>
      <c r="B12" s="5" t="s">
        <v>114</v>
      </c>
      <c r="C12" s="10"/>
    </row>
    <row r="13" spans="1:3">
      <c r="A13" s="4"/>
      <c r="B13" s="5" t="s">
        <v>102</v>
      </c>
      <c r="C13" s="11"/>
    </row>
  </sheetData>
  <mergeCells count="3">
    <mergeCell ref="C2:C9"/>
    <mergeCell ref="C10:C13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F8" sqref="F8"/>
    </sheetView>
  </sheetViews>
  <sheetFormatPr defaultColWidth="10" defaultRowHeight="14.4"/>
  <sheetData>
    <row r="1" spans="1:11">
      <c r="A1" s="7" t="s">
        <v>116</v>
      </c>
      <c r="G1" s="15" t="s">
        <v>122</v>
      </c>
      <c r="H1" s="15" t="s">
        <v>123</v>
      </c>
      <c r="I1" s="15" t="s">
        <v>124</v>
      </c>
      <c r="J1" s="15" t="s">
        <v>125</v>
      </c>
      <c r="K1" s="15" t="s">
        <v>126</v>
      </c>
    </row>
    <row r="2" spans="1:11">
      <c r="G2" s="16">
        <v>5</v>
      </c>
      <c r="H2" s="16" t="s">
        <v>127</v>
      </c>
      <c r="I2" s="25">
        <v>45778</v>
      </c>
      <c r="J2" s="26">
        <v>0.54166666666666663</v>
      </c>
      <c r="K2" s="27" t="s">
        <v>129</v>
      </c>
    </row>
    <row r="3" spans="1:11">
      <c r="A3" s="7" t="s">
        <v>117</v>
      </c>
      <c r="G3" s="16">
        <v>1</v>
      </c>
      <c r="H3" s="16" t="s">
        <v>128</v>
      </c>
      <c r="I3" s="25">
        <v>45662</v>
      </c>
      <c r="J3" s="26">
        <v>0.20833333333333334</v>
      </c>
      <c r="K3" s="27" t="s">
        <v>130</v>
      </c>
    </row>
    <row r="4" spans="1:11">
      <c r="A4" s="7" t="s">
        <v>118</v>
      </c>
      <c r="G4" s="16">
        <v>8</v>
      </c>
      <c r="H4" s="16"/>
      <c r="I4" s="25"/>
      <c r="J4" s="16"/>
      <c r="K4" s="27" t="s">
        <v>131</v>
      </c>
    </row>
    <row r="5" spans="1:11">
      <c r="A5" s="7" t="s">
        <v>119</v>
      </c>
      <c r="G5" s="16"/>
      <c r="H5" s="16"/>
      <c r="I5" s="16"/>
      <c r="J5" s="16"/>
      <c r="K5" s="16"/>
    </row>
    <row r="6" spans="1:11">
      <c r="A6" s="7" t="s">
        <v>120</v>
      </c>
      <c r="G6" s="16"/>
      <c r="H6" s="16"/>
      <c r="I6" s="16"/>
      <c r="J6" s="16"/>
      <c r="K6" s="16"/>
    </row>
    <row r="7" spans="1:11">
      <c r="A7" s="7" t="s">
        <v>121</v>
      </c>
    </row>
  </sheetData>
  <dataValidations count="5">
    <dataValidation type="whole" allowBlank="1" showInputMessage="1" showErrorMessage="1" errorTitle="whole number" error="Invalid range!" promptTitle="whole number" prompt="Enter a whole number between 0 and 10." sqref="G1:G1048576" xr:uid="{DE016DC5-6A30-4048-9C67-CC224C2D7931}">
      <formula1>0</formula1>
      <formula2>10</formula2>
    </dataValidation>
    <dataValidation type="list" allowBlank="1" showInputMessage="1" showErrorMessage="1" errorTitle="attendance" error="invalid" promptTitle="attendance" prompt="attendance" sqref="H1:H1048576" xr:uid="{D016CCA7-1F87-4AFE-981A-53BA1FC9D4A2}">
      <formula1>"""Present"",""Absent"""</formula1>
    </dataValidation>
    <dataValidation type="date" allowBlank="1" showInputMessage="1" showErrorMessage="1" errorTitle="Date error" error="Date not in range" promptTitle="Date" prompt="Enter a date" sqref="I2:I28" xr:uid="{8560694D-658A-4A53-9125-A2A76A8B37B2}">
      <formula1>45658</formula1>
      <formula2>45872</formula2>
    </dataValidation>
    <dataValidation type="time" allowBlank="1" showInputMessage="1" showErrorMessage="1" errorTitle="time error" error="Time not in specified range!" promptTitle="Time" prompt="Enter a time" sqref="J2:J30" xr:uid="{205C63FF-613D-47B5-B091-8ADB829D7E40}">
      <formula1>0</formula1>
      <formula2>0.583333333333333</formula2>
    </dataValidation>
    <dataValidation type="textLength" operator="lessThanOrEqual" allowBlank="1" showInputMessage="1" showErrorMessage="1" errorTitle="text length error" error="Text length should be less than or equal to 6_x000a_" promptTitle="Text Input" prompt="Enter a text!" sqref="K2:K26" xr:uid="{78F0DA2A-A1BA-48D4-8AB2-1E160082CB82}">
      <formula1>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IS function Data</vt:lpstr>
      <vt:lpstr>Name Manager Data</vt:lpstr>
      <vt:lpstr>Assignment</vt:lpstr>
      <vt:lpstr>Data Validation</vt:lpstr>
      <vt:lpstr>MathsScore</vt:lpstr>
      <vt:lpstr>StudentName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Batra</dc:creator>
  <cp:lastModifiedBy>Sanjana .</cp:lastModifiedBy>
  <dcterms:created xsi:type="dcterms:W3CDTF">2025-08-01T11:33:16Z</dcterms:created>
  <dcterms:modified xsi:type="dcterms:W3CDTF">2025-08-07T14:21:18Z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2f299dfdf1eb4436bc7cab6375e967ed</vt:lpwstr>
  </property>
</Properties>
</file>