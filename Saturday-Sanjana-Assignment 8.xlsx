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u\Downloads\"/>
    </mc:Choice>
  </mc:AlternateContent>
  <xr:revisionPtr revIDLastSave="0" documentId="8_{3BD3FB49-5EFD-408E-86D1-99D9C6167D1B}" xr6:coauthVersionLast="47" xr6:coauthVersionMax="47" xr10:uidLastSave="{00000000-0000-0000-0000-000000000000}"/>
  <bookViews>
    <workbookView xWindow="-108" yWindow="-108" windowWidth="23256" windowHeight="12456" activeTab="1" xr2:uid="{1004C8D2-B508-48E6-8C6C-265D9F0DF639}"/>
  </bookViews>
  <sheets>
    <sheet name="Date &amp; Time" sheetId="1" r:id="rId1"/>
    <sheet name="conditional formatt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2" i="1"/>
  <c r="S3" i="1"/>
  <c r="S4" i="1"/>
  <c r="S5" i="1"/>
  <c r="S6" i="1"/>
  <c r="S7" i="1"/>
  <c r="R3" i="1"/>
  <c r="R4" i="1"/>
  <c r="R5" i="1"/>
  <c r="R6" i="1"/>
  <c r="R7" i="1"/>
  <c r="T3" i="1"/>
  <c r="T4" i="1"/>
  <c r="T5" i="1"/>
  <c r="T6" i="1"/>
  <c r="T7" i="1"/>
  <c r="T2" i="1"/>
  <c r="S2" i="1"/>
  <c r="R2" i="1"/>
  <c r="O3" i="1"/>
  <c r="O4" i="1"/>
  <c r="O5" i="1"/>
  <c r="O6" i="1"/>
  <c r="O7" i="1"/>
  <c r="O2" i="1"/>
  <c r="P2" i="1"/>
  <c r="P3" i="1"/>
  <c r="P4" i="1"/>
  <c r="P5" i="1"/>
  <c r="P6" i="1"/>
  <c r="P7" i="1"/>
  <c r="N3" i="1"/>
  <c r="N4" i="1"/>
  <c r="N5" i="1"/>
  <c r="N6" i="1"/>
  <c r="N7" i="1"/>
  <c r="N2" i="1"/>
  <c r="M3" i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B11" i="1"/>
  <c r="B10" i="1"/>
</calcChain>
</file>

<file path=xl/sharedStrings.xml><?xml version="1.0" encoding="utf-8"?>
<sst xmlns="http://schemas.openxmlformats.org/spreadsheetml/2006/main" count="124" uniqueCount="80">
  <si>
    <t>Emp ID</t>
  </si>
  <si>
    <t>Name</t>
  </si>
  <si>
    <t>Joining Date</t>
  </si>
  <si>
    <t>DOB</t>
  </si>
  <si>
    <t>Login Time</t>
  </si>
  <si>
    <t>Salary</t>
  </si>
  <si>
    <t>Project Start</t>
  </si>
  <si>
    <t>Project End</t>
  </si>
  <si>
    <t>E101</t>
  </si>
  <si>
    <t>Ravi</t>
  </si>
  <si>
    <t>E102</t>
  </si>
  <si>
    <t>Neha</t>
  </si>
  <si>
    <t>E103</t>
  </si>
  <si>
    <t>Arjun</t>
  </si>
  <si>
    <t>E104</t>
  </si>
  <si>
    <t>Sneha</t>
  </si>
  <si>
    <t>Count number of employees</t>
  </si>
  <si>
    <t>Questions</t>
  </si>
  <si>
    <t>Expected answer</t>
  </si>
  <si>
    <t>Your answer</t>
  </si>
  <si>
    <t>Count total fields in the dataset.</t>
  </si>
  <si>
    <t>DOB Year</t>
  </si>
  <si>
    <t>DOB Month</t>
  </si>
  <si>
    <t>DOB Day</t>
  </si>
  <si>
    <t>Login Hour</t>
  </si>
  <si>
    <t>Login Min</t>
  </si>
  <si>
    <t>Login Sec</t>
  </si>
  <si>
    <t>Age (yrs)</t>
  </si>
  <si>
    <t>Tenure (yrs)</t>
  </si>
  <si>
    <t>Working Days (Proj Start → End)</t>
  </si>
  <si>
    <t>15 Workdays After Start</t>
  </si>
  <si>
    <t>Last Date of Project End Month</t>
  </si>
  <si>
    <t>Day of Week (Login)</t>
  </si>
  <si>
    <t>E105</t>
  </si>
  <si>
    <t>Karan</t>
  </si>
  <si>
    <t>E106</t>
  </si>
  <si>
    <t>Priya</t>
  </si>
  <si>
    <t>Expected Answer</t>
  </si>
  <si>
    <t>Kunal</t>
  </si>
  <si>
    <t>Column I: Write a formula to extract the year of birth from the Date of Birth.</t>
  </si>
  <si>
    <t>Column J: Write a formula to extract the month number (1–12) from the Date of Birth.</t>
  </si>
  <si>
    <t>Column K: Write a formula to extract the day of the month from the Date of Birth.</t>
  </si>
  <si>
    <t>Column L: From the login timestamp, calculate the hour at which the employee logged in.</t>
  </si>
  <si>
    <t>Column M: Write a formula to extract the minutes part from the Login Time.</t>
  </si>
  <si>
    <t>Column N: Write a formula to extract the seconds component from the Login Time.</t>
  </si>
  <si>
    <t>Column O: Calculate the current age (in years) of each employee as of today (07-09-2025).</t>
  </si>
  <si>
    <t>Column P: Find the number of years of tenure since each employee’s Joining Date till today (07-09-2025).</t>
  </si>
  <si>
    <t>Column R: Find the date that comes 15 working days after the Project Start Date.</t>
  </si>
  <si>
    <t>Column S: Find the last date of the month in which the Project End Date falls.</t>
  </si>
  <si>
    <t>Column T: Display the day of the week (e.g., Monday, Sunday) of the Login Time.</t>
  </si>
  <si>
    <t>Fill the columns (I to T) using the following instructions</t>
  </si>
  <si>
    <t>Column Q: Calculate the number of working days between Project Start and Project End (excluding weekends).</t>
  </si>
  <si>
    <t>Employee Name</t>
  </si>
  <si>
    <t>Department</t>
  </si>
  <si>
    <t>Date of Joining</t>
  </si>
  <si>
    <t>Performance Rating</t>
  </si>
  <si>
    <t>Location</t>
  </si>
  <si>
    <t>Alice Brown</t>
  </si>
  <si>
    <t>Sales</t>
  </si>
  <si>
    <t>New York</t>
  </si>
  <si>
    <t>Bob Smith</t>
  </si>
  <si>
    <t>HR</t>
  </si>
  <si>
    <t>Chicago</t>
  </si>
  <si>
    <t>Charlie Davis</t>
  </si>
  <si>
    <t>IT</t>
  </si>
  <si>
    <t>Seattle</t>
  </si>
  <si>
    <t>Diana Evans</t>
  </si>
  <si>
    <t>Marketing</t>
  </si>
  <si>
    <t>Ethan Fox</t>
  </si>
  <si>
    <t>Fiona Green</t>
  </si>
  <si>
    <t>Boston</t>
  </si>
  <si>
    <t>George Hall</t>
  </si>
  <si>
    <t>Hannah White</t>
  </si>
  <si>
    <t>Ian Black</t>
  </si>
  <si>
    <t>Jenna Reed</t>
  </si>
  <si>
    <t>Task : Conditional Formatting</t>
  </si>
  <si>
    <t>1. Apply conditional formatting to:</t>
  </si>
  <si>
    <r>
      <rPr>
        <sz val="11"/>
        <rFont val="Aptos Narrow"/>
        <family val="2"/>
      </rPr>
      <t xml:space="preserve">Highlight </t>
    </r>
    <r>
      <rPr>
        <b/>
        <sz val="11"/>
        <rFont val="Aptos Narrow"/>
        <family val="2"/>
      </rPr>
      <t>Salaries greater than $65,000</t>
    </r>
    <r>
      <rPr>
        <sz val="11"/>
        <rFont val="Aptos Narrow"/>
        <family val="2"/>
      </rPr>
      <t xml:space="preserve"> in </t>
    </r>
    <r>
      <rPr>
        <b/>
        <sz val="11"/>
        <rFont val="Aptos Narrow"/>
        <family val="2"/>
      </rPr>
      <t>green</t>
    </r>
    <r>
      <rPr>
        <sz val="11"/>
        <rFont val="Aptos Narrow"/>
        <family val="2"/>
      </rPr>
      <t>.</t>
    </r>
  </si>
  <si>
    <r>
      <rPr>
        <sz val="11"/>
        <rFont val="Aptos Narrow"/>
        <family val="2"/>
      </rPr>
      <t xml:space="preserve">Highlight </t>
    </r>
    <r>
      <rPr>
        <b/>
        <sz val="11"/>
        <rFont val="Aptos Narrow"/>
        <family val="2"/>
      </rPr>
      <t>Performance Ratings less than 3.5</t>
    </r>
    <r>
      <rPr>
        <sz val="11"/>
        <rFont val="Aptos Narrow"/>
        <family val="2"/>
      </rPr>
      <t xml:space="preserve"> in </t>
    </r>
    <r>
      <rPr>
        <b/>
        <sz val="11"/>
        <rFont val="Aptos Narrow"/>
        <family val="2"/>
      </rPr>
      <t>red</t>
    </r>
    <r>
      <rPr>
        <sz val="11"/>
        <rFont val="Aptos Narrow"/>
        <family val="2"/>
      </rPr>
      <t>.</t>
    </r>
  </si>
  <si>
    <r>
      <rPr>
        <sz val="11"/>
        <rFont val="Aptos Narrow"/>
        <family val="2"/>
      </rPr>
      <t xml:space="preserve">Highlight employees who joined in the </t>
    </r>
    <r>
      <rPr>
        <b/>
        <sz val="11"/>
        <rFont val="Aptos Narrow"/>
        <family val="2"/>
      </rPr>
      <t>last 2 years</t>
    </r>
    <r>
      <rPr>
        <sz val="11"/>
        <rFont val="Aptos Narrow"/>
        <family val="2"/>
      </rPr>
      <t xml:space="preserve"> in </t>
    </r>
    <r>
      <rPr>
        <b/>
        <sz val="11"/>
        <rFont val="Aptos Narrow"/>
        <family val="2"/>
      </rPr>
      <t>yellow</t>
    </r>
    <r>
      <rPr>
        <sz val="11"/>
        <rFont val="Aptos Narrow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</si>
</sst>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sz val="11"/>
      <name val="Arial"/>
      <family val="2"/>
    </font>
    <font>
      <b/>
      <sz val="12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0" fillId="0" borderId="1" xfId="0" applyBorder="1"/>
    <xf numFmtId="0" fontId="0" fillId="0" borderId="2" xfId="0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22" fontId="0" fillId="0" borderId="2" xfId="0" applyNumberFormat="1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0" borderId="0" xfId="1"/>
    <xf numFmtId="0" fontId="4" fillId="0" borderId="0" xfId="1" applyFont="1" applyAlignment="1">
      <alignment horizontal="center" wrapText="1"/>
    </xf>
    <xf numFmtId="0" fontId="5" fillId="0" borderId="0" xfId="1" applyFont="1" applyAlignment="1">
      <alignment wrapText="1"/>
    </xf>
    <xf numFmtId="14" fontId="5" fillId="0" borderId="0" xfId="1" applyNumberFormat="1" applyFont="1" applyAlignment="1">
      <alignment horizontal="right" wrapText="1"/>
    </xf>
    <xf numFmtId="0" fontId="5" fillId="0" borderId="0" xfId="1" applyFont="1" applyAlignment="1">
      <alignment horizontal="right" wrapText="1"/>
    </xf>
    <xf numFmtId="0" fontId="6" fillId="0" borderId="0" xfId="1" applyFont="1"/>
    <xf numFmtId="0" fontId="7" fillId="0" borderId="0" xfId="1" applyFont="1"/>
    <xf numFmtId="0" fontId="5" fillId="0" borderId="0" xfId="1" applyFont="1"/>
    <xf numFmtId="14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2" borderId="0" xfId="0" applyFill="1"/>
    <xf numFmtId="0" fontId="0" fillId="2" borderId="0" xfId="0" applyFill="1" applyAlignment="1">
      <alignment vertical="center"/>
    </xf>
    <xf numFmtId="14" fontId="0" fillId="2" borderId="0" xfId="0" applyNumberFormat="1" applyFill="1" applyAlignment="1">
      <alignment vertical="center" wrapText="1"/>
    </xf>
    <xf numFmtId="22" fontId="0" fillId="2" borderId="0" xfId="0" applyNumberFormat="1" applyFill="1" applyAlignment="1">
      <alignment vertical="center" wrapText="1"/>
    </xf>
    <xf numFmtId="3" fontId="0" fillId="2" borderId="0" xfId="0" applyNumberFormat="1" applyFill="1" applyAlignment="1">
      <alignment vertical="center" wrapText="1"/>
    </xf>
    <xf numFmtId="14" fontId="1" fillId="0" borderId="1" xfId="0" applyNumberFormat="1" applyFont="1" applyBorder="1"/>
    <xf numFmtId="14" fontId="0" fillId="0" borderId="1" xfId="0" applyNumberFormat="1" applyBorder="1"/>
    <xf numFmtId="1" fontId="1" fillId="0" borderId="1" xfId="0" applyNumberFormat="1" applyFont="1" applyBorder="1"/>
    <xf numFmtId="0" fontId="4" fillId="3" borderId="0" xfId="1" applyFont="1" applyFill="1" applyAlignment="1">
      <alignment horizontal="center" wrapText="1"/>
    </xf>
  </cellXfs>
  <cellStyles count="2">
    <cellStyle name="Normal" xfId="0" builtinId="0"/>
    <cellStyle name="Normal 2" xfId="1" xr:uid="{286F86FE-2200-4FD9-BA90-A81AD8FA897F}"/>
  </cellStyles>
  <dxfs count="5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68C1-9826-46E6-9644-5CE309D4A550}">
  <dimension ref="A1:V35"/>
  <sheetViews>
    <sheetView topLeftCell="A33" workbookViewId="0">
      <selection activeCell="H2" sqref="H2"/>
    </sheetView>
  </sheetViews>
  <sheetFormatPr defaultRowHeight="14.4" x14ac:dyDescent="0.3"/>
  <cols>
    <col min="1" max="1" width="38.44140625" customWidth="1"/>
    <col min="2" max="2" width="11.88671875" customWidth="1"/>
    <col min="3" max="3" width="20.5546875" customWidth="1"/>
    <col min="4" max="4" width="10.109375" bestFit="1" customWidth="1"/>
    <col min="5" max="5" width="15.21875" bestFit="1" customWidth="1"/>
    <col min="6" max="6" width="6.21875" bestFit="1" customWidth="1"/>
    <col min="7" max="8" width="10.109375" bestFit="1" customWidth="1"/>
    <col min="10" max="10" width="10.77734375" bestFit="1" customWidth="1"/>
    <col min="11" max="11" width="8.21875" bestFit="1" customWidth="1"/>
    <col min="13" max="13" width="15.21875" bestFit="1" customWidth="1"/>
    <col min="15" max="15" width="13" customWidth="1"/>
    <col min="16" max="16" width="11.88671875" customWidth="1"/>
    <col min="17" max="17" width="14.5546875" customWidth="1"/>
    <col min="18" max="18" width="14.6640625" customWidth="1"/>
    <col min="19" max="19" width="15.6640625" customWidth="1"/>
    <col min="20" max="20" width="15.33203125" customWidth="1"/>
  </cols>
  <sheetData>
    <row r="1" spans="1:22" ht="43.2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21</v>
      </c>
      <c r="J1" s="7" t="s">
        <v>22</v>
      </c>
      <c r="K1" s="7" t="s">
        <v>23</v>
      </c>
      <c r="L1" s="7" t="s">
        <v>24</v>
      </c>
      <c r="M1" s="7" t="s">
        <v>25</v>
      </c>
      <c r="N1" s="7" t="s">
        <v>26</v>
      </c>
      <c r="O1" s="7" t="s">
        <v>27</v>
      </c>
      <c r="P1" s="7" t="s">
        <v>28</v>
      </c>
      <c r="Q1" s="7" t="s">
        <v>29</v>
      </c>
      <c r="R1" s="7" t="s">
        <v>30</v>
      </c>
      <c r="S1" s="7" t="s">
        <v>31</v>
      </c>
      <c r="T1" s="7" t="s">
        <v>32</v>
      </c>
      <c r="U1" s="6"/>
      <c r="V1" s="3"/>
    </row>
    <row r="2" spans="1:22" x14ac:dyDescent="0.3">
      <c r="A2" s="8" t="s">
        <v>8</v>
      </c>
      <c r="B2" s="8" t="s">
        <v>9</v>
      </c>
      <c r="C2" s="9">
        <v>43313</v>
      </c>
      <c r="D2" s="9">
        <v>34834</v>
      </c>
      <c r="E2" s="10">
        <v>45907.385671296295</v>
      </c>
      <c r="F2" s="11">
        <v>30000</v>
      </c>
      <c r="G2" s="9">
        <v>45910</v>
      </c>
      <c r="H2" s="9">
        <v>45950</v>
      </c>
      <c r="I2" s="12">
        <f>YEAR(D2)</f>
        <v>1995</v>
      </c>
      <c r="J2" s="12">
        <f>MONTH(D2)</f>
        <v>5</v>
      </c>
      <c r="K2" s="12">
        <f>DAY(D2)</f>
        <v>15</v>
      </c>
      <c r="L2" s="12">
        <f>HOUR(E2)</f>
        <v>9</v>
      </c>
      <c r="M2" s="12">
        <f>MINUTE(E2)</f>
        <v>15</v>
      </c>
      <c r="N2" s="12">
        <f>SECOND(E2)</f>
        <v>22</v>
      </c>
      <c r="O2" s="13">
        <f>DATEDIF(D2,DATE(2025,9,7),"Y")</f>
        <v>30</v>
      </c>
      <c r="P2" s="13">
        <f>DATEDIF(C2, DATE(2025,9,7), "Y")</f>
        <v>7</v>
      </c>
      <c r="Q2" s="39">
        <f>NETWORKDAYS(G2, H2)</f>
        <v>29</v>
      </c>
      <c r="R2" s="37">
        <f>WORKDAY(G2, 15)</f>
        <v>45931</v>
      </c>
      <c r="S2" s="38">
        <f>EOMONTH(H2,0)</f>
        <v>45961</v>
      </c>
      <c r="T2" s="13" t="str">
        <f>TEXT(E2, "dddd")</f>
        <v>Sunday</v>
      </c>
      <c r="U2" s="5"/>
    </row>
    <row r="3" spans="1:22" x14ac:dyDescent="0.3">
      <c r="A3" s="8" t="s">
        <v>10</v>
      </c>
      <c r="B3" s="8" t="s">
        <v>11</v>
      </c>
      <c r="C3" s="9">
        <v>43905</v>
      </c>
      <c r="D3" s="9">
        <v>33928</v>
      </c>
      <c r="E3" s="10">
        <v>45907.420659722222</v>
      </c>
      <c r="F3" s="11">
        <v>45000</v>
      </c>
      <c r="G3" s="9">
        <v>45905</v>
      </c>
      <c r="H3" s="9">
        <v>45925</v>
      </c>
      <c r="I3" s="12">
        <f t="shared" ref="I3:I7" si="0">YEAR(D3)</f>
        <v>1992</v>
      </c>
      <c r="J3" s="12">
        <f t="shared" ref="J3:J7" si="1">MONTH(D3)</f>
        <v>11</v>
      </c>
      <c r="K3" s="12">
        <f t="shared" ref="K3:K7" si="2">DAY(D3)</f>
        <v>20</v>
      </c>
      <c r="L3" s="12">
        <f t="shared" ref="L3:L7" si="3">HOUR(E3)</f>
        <v>10</v>
      </c>
      <c r="M3" s="12">
        <f t="shared" ref="M3:M7" si="4">MINUTE(E3)</f>
        <v>5</v>
      </c>
      <c r="N3" s="12">
        <f t="shared" ref="N3:N7" si="5">SECOND(E3)</f>
        <v>45</v>
      </c>
      <c r="O3" s="13">
        <f t="shared" ref="O3:O7" si="6">DATEDIF(D3,DATE(2025,9,7),"Y")</f>
        <v>32</v>
      </c>
      <c r="P3" s="13">
        <f t="shared" ref="P3:P7" si="7">DATEDIF(C3, DATE(2025,9,7), "Y")</f>
        <v>5</v>
      </c>
      <c r="Q3" s="39">
        <f t="shared" ref="Q3:Q7" si="8">NETWORKDAYS(G3, H3)</f>
        <v>15</v>
      </c>
      <c r="R3" s="37">
        <f t="shared" ref="R3:R7" si="9">WORKDAY(G3, 15)</f>
        <v>45926</v>
      </c>
      <c r="S3" s="38">
        <f t="shared" ref="S3:S7" si="10">EOMONTH(H3,0)</f>
        <v>45930</v>
      </c>
      <c r="T3" s="13" t="str">
        <f t="shared" ref="T3:T7" si="11">TEXT(E3, "dddd")</f>
        <v>Sunday</v>
      </c>
    </row>
    <row r="4" spans="1:22" x14ac:dyDescent="0.3">
      <c r="A4" s="8" t="s">
        <v>12</v>
      </c>
      <c r="B4" s="8" t="s">
        <v>13</v>
      </c>
      <c r="C4" s="9">
        <v>44752</v>
      </c>
      <c r="D4" s="9">
        <v>35796</v>
      </c>
      <c r="E4" s="10">
        <v>45908.37164351852</v>
      </c>
      <c r="F4" s="11">
        <v>25000</v>
      </c>
      <c r="G4" s="9">
        <v>45901</v>
      </c>
      <c r="H4" s="9">
        <v>45930</v>
      </c>
      <c r="I4" s="12">
        <f t="shared" si="0"/>
        <v>1998</v>
      </c>
      <c r="J4" s="12">
        <f t="shared" si="1"/>
        <v>1</v>
      </c>
      <c r="K4" s="12">
        <f t="shared" si="2"/>
        <v>1</v>
      </c>
      <c r="L4" s="12">
        <f t="shared" si="3"/>
        <v>8</v>
      </c>
      <c r="M4" s="12">
        <f t="shared" si="4"/>
        <v>55</v>
      </c>
      <c r="N4" s="12">
        <f t="shared" si="5"/>
        <v>10</v>
      </c>
      <c r="O4" s="13">
        <f t="shared" si="6"/>
        <v>27</v>
      </c>
      <c r="P4" s="13">
        <f t="shared" si="7"/>
        <v>3</v>
      </c>
      <c r="Q4" s="39">
        <f t="shared" si="8"/>
        <v>22</v>
      </c>
      <c r="R4" s="37">
        <f t="shared" si="9"/>
        <v>45922</v>
      </c>
      <c r="S4" s="38">
        <f t="shared" si="10"/>
        <v>45930</v>
      </c>
      <c r="T4" s="13" t="str">
        <f t="shared" si="11"/>
        <v>Monday</v>
      </c>
    </row>
    <row r="5" spans="1:22" x14ac:dyDescent="0.3">
      <c r="A5" s="8" t="s">
        <v>14</v>
      </c>
      <c r="B5" s="8" t="s">
        <v>15</v>
      </c>
      <c r="C5" s="9">
        <v>45342</v>
      </c>
      <c r="D5" s="9">
        <v>36870</v>
      </c>
      <c r="E5" s="10">
        <v>45910.614930555559</v>
      </c>
      <c r="F5" s="11">
        <v>28000</v>
      </c>
      <c r="G5" s="9">
        <v>45912</v>
      </c>
      <c r="H5" s="9">
        <v>45930</v>
      </c>
      <c r="I5" s="12">
        <f t="shared" si="0"/>
        <v>2000</v>
      </c>
      <c r="J5" s="12">
        <f t="shared" si="1"/>
        <v>12</v>
      </c>
      <c r="K5" s="12">
        <f t="shared" si="2"/>
        <v>10</v>
      </c>
      <c r="L5" s="12">
        <f t="shared" si="3"/>
        <v>14</v>
      </c>
      <c r="M5" s="12">
        <f t="shared" si="4"/>
        <v>45</v>
      </c>
      <c r="N5" s="12">
        <f t="shared" si="5"/>
        <v>30</v>
      </c>
      <c r="O5" s="13">
        <f t="shared" si="6"/>
        <v>24</v>
      </c>
      <c r="P5" s="13">
        <f t="shared" si="7"/>
        <v>1</v>
      </c>
      <c r="Q5" s="39">
        <f t="shared" si="8"/>
        <v>13</v>
      </c>
      <c r="R5" s="37">
        <f t="shared" si="9"/>
        <v>45933</v>
      </c>
      <c r="S5" s="38">
        <f t="shared" si="10"/>
        <v>45930</v>
      </c>
      <c r="T5" s="13" t="str">
        <f t="shared" si="11"/>
        <v>Wednesday</v>
      </c>
    </row>
    <row r="6" spans="1:22" x14ac:dyDescent="0.3">
      <c r="A6" s="8" t="s">
        <v>33</v>
      </c>
      <c r="B6" s="8" t="s">
        <v>34</v>
      </c>
      <c r="C6" s="9">
        <v>42160</v>
      </c>
      <c r="D6" s="9">
        <v>32957</v>
      </c>
      <c r="E6" s="10">
        <v>45907.312557870369</v>
      </c>
      <c r="F6" s="11">
        <v>50000</v>
      </c>
      <c r="G6" s="9">
        <v>45915</v>
      </c>
      <c r="H6" s="9">
        <v>45976</v>
      </c>
      <c r="I6" s="12">
        <f t="shared" si="0"/>
        <v>1990</v>
      </c>
      <c r="J6" s="12">
        <f t="shared" si="1"/>
        <v>3</v>
      </c>
      <c r="K6" s="12">
        <f t="shared" si="2"/>
        <v>25</v>
      </c>
      <c r="L6" s="12">
        <f t="shared" si="3"/>
        <v>7</v>
      </c>
      <c r="M6" s="12">
        <f t="shared" si="4"/>
        <v>30</v>
      </c>
      <c r="N6" s="12">
        <f t="shared" si="5"/>
        <v>5</v>
      </c>
      <c r="O6" s="13">
        <f t="shared" si="6"/>
        <v>35</v>
      </c>
      <c r="P6" s="13">
        <f t="shared" si="7"/>
        <v>10</v>
      </c>
      <c r="Q6" s="39">
        <f t="shared" si="8"/>
        <v>45</v>
      </c>
      <c r="R6" s="37">
        <f t="shared" si="9"/>
        <v>45936</v>
      </c>
      <c r="S6" s="38">
        <f t="shared" si="10"/>
        <v>45991</v>
      </c>
      <c r="T6" s="13" t="str">
        <f t="shared" si="11"/>
        <v>Sunday</v>
      </c>
    </row>
    <row r="7" spans="1:22" x14ac:dyDescent="0.3">
      <c r="A7" s="8" t="s">
        <v>35</v>
      </c>
      <c r="B7" s="8" t="s">
        <v>36</v>
      </c>
      <c r="C7" s="9">
        <v>44208</v>
      </c>
      <c r="D7" s="9">
        <v>35251</v>
      </c>
      <c r="E7" s="10">
        <v>45907.681018518517</v>
      </c>
      <c r="F7" s="11">
        <v>40000</v>
      </c>
      <c r="G7" s="9">
        <v>45920</v>
      </c>
      <c r="H7" s="9">
        <v>45950</v>
      </c>
      <c r="I7" s="12">
        <f t="shared" si="0"/>
        <v>1996</v>
      </c>
      <c r="J7" s="12">
        <f t="shared" si="1"/>
        <v>7</v>
      </c>
      <c r="K7" s="12">
        <f t="shared" si="2"/>
        <v>5</v>
      </c>
      <c r="L7" s="12">
        <f t="shared" si="3"/>
        <v>16</v>
      </c>
      <c r="M7" s="12">
        <f t="shared" si="4"/>
        <v>20</v>
      </c>
      <c r="N7" s="12">
        <f t="shared" si="5"/>
        <v>40</v>
      </c>
      <c r="O7" s="13">
        <f t="shared" si="6"/>
        <v>29</v>
      </c>
      <c r="P7" s="13">
        <f t="shared" si="7"/>
        <v>4</v>
      </c>
      <c r="Q7" s="39">
        <f t="shared" si="8"/>
        <v>21</v>
      </c>
      <c r="R7" s="37">
        <f t="shared" si="9"/>
        <v>45940</v>
      </c>
      <c r="S7" s="38">
        <f t="shared" si="10"/>
        <v>45961</v>
      </c>
      <c r="T7" s="13" t="str">
        <f t="shared" si="11"/>
        <v>Sunday</v>
      </c>
    </row>
    <row r="8" spans="1:22" x14ac:dyDescent="0.3">
      <c r="A8" s="20"/>
      <c r="B8" s="20"/>
      <c r="C8" s="29"/>
      <c r="D8" s="29"/>
      <c r="E8" s="30"/>
      <c r="F8" s="31"/>
      <c r="G8" s="29"/>
      <c r="H8" s="29"/>
    </row>
    <row r="9" spans="1:22" x14ac:dyDescent="0.3">
      <c r="A9" s="1" t="s">
        <v>17</v>
      </c>
      <c r="B9" t="s">
        <v>19</v>
      </c>
      <c r="C9" t="s">
        <v>18</v>
      </c>
      <c r="D9" s="29"/>
      <c r="E9" s="30"/>
      <c r="F9" s="31"/>
      <c r="G9" s="29"/>
      <c r="H9" s="29"/>
    </row>
    <row r="10" spans="1:22" x14ac:dyDescent="0.3">
      <c r="A10" s="2" t="s">
        <v>16</v>
      </c>
      <c r="B10">
        <f>ROWS(A2:A7)</f>
        <v>6</v>
      </c>
      <c r="C10">
        <v>6</v>
      </c>
      <c r="D10" s="29"/>
      <c r="E10" s="30"/>
      <c r="F10" s="31"/>
      <c r="G10" s="29"/>
      <c r="H10" s="29"/>
    </row>
    <row r="11" spans="1:22" x14ac:dyDescent="0.3">
      <c r="A11" t="s">
        <v>20</v>
      </c>
      <c r="B11">
        <f>COLUMNS(A1:H7)</f>
        <v>8</v>
      </c>
      <c r="C11">
        <v>8</v>
      </c>
      <c r="D11" s="29"/>
      <c r="E11" s="30"/>
      <c r="F11" s="31"/>
      <c r="G11" s="29"/>
      <c r="H11" s="29"/>
    </row>
    <row r="12" spans="1:22" x14ac:dyDescent="0.3">
      <c r="D12" s="29"/>
      <c r="E12" s="30"/>
      <c r="F12" s="31"/>
      <c r="G12" s="29"/>
      <c r="H12" s="29"/>
    </row>
    <row r="13" spans="1:22" x14ac:dyDescent="0.3">
      <c r="B13" s="4"/>
      <c r="C13" s="4"/>
      <c r="D13" s="29"/>
      <c r="E13" s="30"/>
      <c r="F13" s="31"/>
      <c r="G13" s="29"/>
      <c r="H13" s="29"/>
    </row>
    <row r="14" spans="1:22" s="32" customFormat="1" x14ac:dyDescent="0.3">
      <c r="A14" s="32" t="s">
        <v>50</v>
      </c>
      <c r="B14" s="33"/>
      <c r="C14" s="33"/>
      <c r="D14" s="34"/>
      <c r="E14" s="35"/>
      <c r="F14" s="36"/>
      <c r="G14" s="34"/>
      <c r="H14" s="34"/>
    </row>
    <row r="15" spans="1:22" x14ac:dyDescent="0.3">
      <c r="A15" s="19" t="s">
        <v>39</v>
      </c>
      <c r="B15" s="4"/>
      <c r="C15" s="4"/>
      <c r="D15" s="29"/>
      <c r="E15" s="30"/>
      <c r="F15" s="31"/>
      <c r="G15" s="29"/>
      <c r="H15" s="29"/>
    </row>
    <row r="16" spans="1:22" x14ac:dyDescent="0.3">
      <c r="A16" s="19" t="s">
        <v>40</v>
      </c>
      <c r="B16" s="4"/>
      <c r="C16" s="4"/>
      <c r="D16" s="29"/>
      <c r="E16" s="30"/>
      <c r="F16" s="31"/>
      <c r="G16" s="29"/>
      <c r="H16" s="29"/>
    </row>
    <row r="17" spans="1:20" x14ac:dyDescent="0.3">
      <c r="A17" s="19" t="s">
        <v>41</v>
      </c>
      <c r="B17" s="4"/>
      <c r="C17" s="4"/>
      <c r="D17" s="29"/>
      <c r="E17" s="30"/>
      <c r="F17" s="31"/>
      <c r="G17" s="29"/>
      <c r="H17" s="29"/>
    </row>
    <row r="18" spans="1:20" x14ac:dyDescent="0.3">
      <c r="A18" s="19" t="s">
        <v>42</v>
      </c>
      <c r="B18" s="4"/>
      <c r="C18" s="4"/>
      <c r="D18" s="29"/>
      <c r="E18" s="30"/>
      <c r="F18" s="31"/>
      <c r="G18" s="29"/>
      <c r="H18" s="29"/>
    </row>
    <row r="19" spans="1:20" x14ac:dyDescent="0.3">
      <c r="A19" s="19" t="s">
        <v>43</v>
      </c>
      <c r="B19" s="4"/>
      <c r="C19" s="4"/>
      <c r="D19" s="29"/>
      <c r="E19" s="30"/>
      <c r="F19" s="31"/>
      <c r="G19" s="29"/>
      <c r="H19" s="29"/>
    </row>
    <row r="20" spans="1:20" x14ac:dyDescent="0.3">
      <c r="A20" s="19" t="s">
        <v>44</v>
      </c>
      <c r="B20" s="4"/>
      <c r="C20" s="4"/>
      <c r="D20" s="29"/>
      <c r="E20" s="30"/>
      <c r="F20" s="31"/>
      <c r="G20" s="29"/>
      <c r="H20" s="29"/>
    </row>
    <row r="21" spans="1:20" x14ac:dyDescent="0.3">
      <c r="A21" s="19" t="s">
        <v>45</v>
      </c>
      <c r="B21" s="4"/>
      <c r="C21" s="4"/>
      <c r="D21" s="29"/>
      <c r="E21" s="30"/>
      <c r="F21" s="31"/>
      <c r="G21" s="29"/>
      <c r="H21" s="29"/>
    </row>
    <row r="22" spans="1:20" x14ac:dyDescent="0.3">
      <c r="A22" s="19" t="s">
        <v>46</v>
      </c>
      <c r="B22" s="4"/>
      <c r="C22" s="4"/>
      <c r="D22" s="29"/>
      <c r="E22" s="30"/>
      <c r="F22" s="31"/>
      <c r="G22" s="29"/>
      <c r="H22" s="29"/>
    </row>
    <row r="23" spans="1:20" x14ac:dyDescent="0.3">
      <c r="A23" s="19" t="s">
        <v>51</v>
      </c>
      <c r="B23" s="4"/>
      <c r="C23" s="4"/>
      <c r="D23" s="29"/>
      <c r="E23" s="30"/>
      <c r="F23" s="31"/>
      <c r="G23" s="29"/>
      <c r="H23" s="29"/>
    </row>
    <row r="24" spans="1:20" x14ac:dyDescent="0.3">
      <c r="A24" s="19" t="s">
        <v>47</v>
      </c>
      <c r="B24" s="4"/>
      <c r="C24" s="4"/>
      <c r="D24" s="29"/>
      <c r="E24" s="30"/>
      <c r="F24" s="31"/>
      <c r="G24" s="29"/>
      <c r="H24" s="29"/>
    </row>
    <row r="25" spans="1:20" x14ac:dyDescent="0.3">
      <c r="A25" s="19" t="s">
        <v>48</v>
      </c>
      <c r="D25" s="29"/>
      <c r="E25" s="30"/>
      <c r="F25" s="31"/>
      <c r="G25" s="29"/>
      <c r="H25" s="29"/>
    </row>
    <row r="26" spans="1:20" x14ac:dyDescent="0.3">
      <c r="A26" s="19" t="s">
        <v>49</v>
      </c>
      <c r="D26" s="29"/>
      <c r="E26" s="30"/>
      <c r="F26" s="31"/>
      <c r="G26" s="29"/>
      <c r="H26" s="29"/>
    </row>
    <row r="27" spans="1:20" x14ac:dyDescent="0.3">
      <c r="A27" s="20"/>
      <c r="B27" s="20"/>
      <c r="C27" s="29"/>
      <c r="D27" s="29"/>
      <c r="E27" s="30"/>
      <c r="F27" s="31"/>
      <c r="G27" s="29"/>
      <c r="H27" s="29"/>
    </row>
    <row r="28" spans="1:20" x14ac:dyDescent="0.3">
      <c r="A28" t="s">
        <v>37</v>
      </c>
    </row>
    <row r="29" spans="1:20" s="14" customFormat="1" ht="43.2" x14ac:dyDescent="0.3">
      <c r="A29" s="7" t="s">
        <v>0</v>
      </c>
      <c r="B29" s="7" t="s">
        <v>1</v>
      </c>
      <c r="C29" s="7" t="s">
        <v>2</v>
      </c>
      <c r="D29" s="7" t="s">
        <v>3</v>
      </c>
      <c r="E29" s="7" t="s">
        <v>4</v>
      </c>
      <c r="F29" s="7" t="s">
        <v>5</v>
      </c>
      <c r="G29" s="7" t="s">
        <v>6</v>
      </c>
      <c r="H29" s="7" t="s">
        <v>7</v>
      </c>
      <c r="I29" s="7" t="s">
        <v>21</v>
      </c>
      <c r="J29" s="7" t="s">
        <v>22</v>
      </c>
      <c r="K29" s="7" t="s">
        <v>23</v>
      </c>
      <c r="L29" s="7" t="s">
        <v>24</v>
      </c>
      <c r="M29" s="7" t="s">
        <v>25</v>
      </c>
      <c r="N29" s="7" t="s">
        <v>26</v>
      </c>
      <c r="O29" s="7" t="s">
        <v>27</v>
      </c>
      <c r="P29" s="7" t="s">
        <v>28</v>
      </c>
      <c r="Q29" s="7" t="s">
        <v>29</v>
      </c>
      <c r="R29" s="7" t="s">
        <v>30</v>
      </c>
      <c r="S29" s="7" t="s">
        <v>31</v>
      </c>
      <c r="T29" s="7" t="s">
        <v>32</v>
      </c>
    </row>
    <row r="30" spans="1:20" x14ac:dyDescent="0.3">
      <c r="A30" s="15" t="s">
        <v>8</v>
      </c>
      <c r="B30" s="15" t="s">
        <v>9</v>
      </c>
      <c r="C30" s="16">
        <v>43313</v>
      </c>
      <c r="D30" s="16">
        <v>34834</v>
      </c>
      <c r="E30" s="17">
        <v>45907.385671296295</v>
      </c>
      <c r="F30" s="18">
        <v>30000</v>
      </c>
      <c r="G30" s="16">
        <v>45910</v>
      </c>
      <c r="H30" s="16">
        <v>45950</v>
      </c>
      <c r="I30" s="15">
        <v>1995</v>
      </c>
      <c r="J30" s="15">
        <v>5</v>
      </c>
      <c r="K30" s="15">
        <v>15</v>
      </c>
      <c r="L30" s="15">
        <v>9</v>
      </c>
      <c r="M30" s="8">
        <v>15</v>
      </c>
      <c r="N30" s="15">
        <v>22</v>
      </c>
      <c r="O30" s="15">
        <v>30</v>
      </c>
      <c r="P30" s="15">
        <v>7</v>
      </c>
      <c r="Q30" s="15">
        <v>40</v>
      </c>
      <c r="R30" s="16">
        <v>45931</v>
      </c>
      <c r="S30" s="16">
        <v>45961</v>
      </c>
      <c r="T30" s="15">
        <v>1</v>
      </c>
    </row>
    <row r="31" spans="1:20" x14ac:dyDescent="0.3">
      <c r="A31" s="8" t="s">
        <v>10</v>
      </c>
      <c r="B31" s="8" t="s">
        <v>11</v>
      </c>
      <c r="C31" s="9">
        <v>43905</v>
      </c>
      <c r="D31" s="9">
        <v>33928</v>
      </c>
      <c r="E31" s="10">
        <v>45907.420659722222</v>
      </c>
      <c r="F31" s="11">
        <v>45000</v>
      </c>
      <c r="G31" s="9">
        <v>45905</v>
      </c>
      <c r="H31" s="9">
        <v>45925</v>
      </c>
      <c r="I31" s="15">
        <v>1992</v>
      </c>
      <c r="J31" s="8">
        <v>11</v>
      </c>
      <c r="K31" s="8">
        <v>20</v>
      </c>
      <c r="L31" s="8">
        <v>10</v>
      </c>
      <c r="M31" s="8">
        <v>5</v>
      </c>
      <c r="N31" s="8">
        <v>45</v>
      </c>
      <c r="O31" s="15">
        <v>32</v>
      </c>
      <c r="P31" s="15">
        <v>5</v>
      </c>
      <c r="Q31" s="15">
        <v>20</v>
      </c>
      <c r="R31" s="16">
        <v>45926</v>
      </c>
      <c r="S31" s="16">
        <v>45930</v>
      </c>
      <c r="T31" s="15">
        <v>1</v>
      </c>
    </row>
    <row r="32" spans="1:20" x14ac:dyDescent="0.3">
      <c r="A32" s="8" t="s">
        <v>12</v>
      </c>
      <c r="B32" s="8" t="s">
        <v>13</v>
      </c>
      <c r="C32" s="9">
        <v>44752</v>
      </c>
      <c r="D32" s="9">
        <v>35796</v>
      </c>
      <c r="E32" s="10">
        <v>45907.37164351852</v>
      </c>
      <c r="F32" s="11">
        <v>25000</v>
      </c>
      <c r="G32" s="9">
        <v>45901</v>
      </c>
      <c r="H32" s="9">
        <v>45930</v>
      </c>
      <c r="I32" s="15">
        <v>1998</v>
      </c>
      <c r="J32" s="8">
        <v>1</v>
      </c>
      <c r="K32" s="8">
        <v>1</v>
      </c>
      <c r="L32" s="8">
        <v>8</v>
      </c>
      <c r="M32" s="8">
        <v>55</v>
      </c>
      <c r="N32" s="8">
        <v>10</v>
      </c>
      <c r="O32" s="15">
        <v>27</v>
      </c>
      <c r="P32" s="15">
        <v>3</v>
      </c>
      <c r="Q32" s="15">
        <v>29</v>
      </c>
      <c r="R32" s="16">
        <v>45922</v>
      </c>
      <c r="S32" s="16">
        <v>45930</v>
      </c>
      <c r="T32" s="15">
        <v>2</v>
      </c>
    </row>
    <row r="33" spans="1:20" x14ac:dyDescent="0.3">
      <c r="A33" s="8" t="s">
        <v>14</v>
      </c>
      <c r="B33" s="8" t="s">
        <v>15</v>
      </c>
      <c r="C33" s="9">
        <v>45342</v>
      </c>
      <c r="D33" s="9">
        <v>36870</v>
      </c>
      <c r="E33" s="10">
        <v>45907.614930555559</v>
      </c>
      <c r="F33" s="11">
        <v>28000</v>
      </c>
      <c r="G33" s="9">
        <v>45912</v>
      </c>
      <c r="H33" s="9">
        <v>45930</v>
      </c>
      <c r="I33" s="15">
        <v>2000</v>
      </c>
      <c r="J33" s="8">
        <v>12</v>
      </c>
      <c r="K33" s="8">
        <v>10</v>
      </c>
      <c r="L33" s="8">
        <v>14</v>
      </c>
      <c r="M33" s="8">
        <v>45</v>
      </c>
      <c r="N33" s="8">
        <v>30</v>
      </c>
      <c r="O33" s="15">
        <v>24</v>
      </c>
      <c r="P33" s="15">
        <v>1</v>
      </c>
      <c r="Q33" s="15">
        <v>18</v>
      </c>
      <c r="R33" s="16">
        <v>45933</v>
      </c>
      <c r="S33" s="16">
        <v>45930</v>
      </c>
      <c r="T33" s="15">
        <v>4</v>
      </c>
    </row>
    <row r="34" spans="1:20" x14ac:dyDescent="0.3">
      <c r="A34" s="8" t="s">
        <v>33</v>
      </c>
      <c r="B34" s="8" t="s">
        <v>38</v>
      </c>
      <c r="C34" s="9">
        <v>42160</v>
      </c>
      <c r="D34" s="9">
        <v>32957</v>
      </c>
      <c r="E34" s="10">
        <v>45907.312557870369</v>
      </c>
      <c r="F34" s="11">
        <v>50000</v>
      </c>
      <c r="G34" s="9">
        <v>45915</v>
      </c>
      <c r="H34" s="9">
        <v>45976</v>
      </c>
      <c r="I34" s="15">
        <v>1990</v>
      </c>
      <c r="J34" s="8">
        <v>3</v>
      </c>
      <c r="K34" s="8">
        <v>25</v>
      </c>
      <c r="L34" s="8">
        <v>7</v>
      </c>
      <c r="M34" s="8">
        <v>30</v>
      </c>
      <c r="N34" s="8">
        <v>5</v>
      </c>
      <c r="O34" s="15">
        <v>35</v>
      </c>
      <c r="P34" s="15">
        <v>10</v>
      </c>
      <c r="Q34" s="15">
        <v>61</v>
      </c>
      <c r="R34" s="16">
        <v>45936</v>
      </c>
      <c r="S34" s="16">
        <v>45991</v>
      </c>
      <c r="T34" s="15">
        <v>1</v>
      </c>
    </row>
    <row r="35" spans="1:20" x14ac:dyDescent="0.3">
      <c r="A35" s="8" t="s">
        <v>35</v>
      </c>
      <c r="B35" s="8" t="s">
        <v>36</v>
      </c>
      <c r="C35" s="9">
        <v>44208</v>
      </c>
      <c r="D35" s="9">
        <v>35251</v>
      </c>
      <c r="E35" s="10">
        <v>45907.681018518517</v>
      </c>
      <c r="F35" s="11">
        <v>40000</v>
      </c>
      <c r="G35" s="9">
        <v>45920</v>
      </c>
      <c r="H35" s="9">
        <v>45950</v>
      </c>
      <c r="I35" s="15">
        <v>1996</v>
      </c>
      <c r="J35" s="8">
        <v>7</v>
      </c>
      <c r="K35" s="8">
        <v>5</v>
      </c>
      <c r="L35" s="8">
        <v>16</v>
      </c>
      <c r="M35" s="8">
        <v>20</v>
      </c>
      <c r="N35" s="8">
        <v>40</v>
      </c>
      <c r="O35" s="15">
        <v>29</v>
      </c>
      <c r="P35" s="15">
        <v>4</v>
      </c>
      <c r="Q35" s="15">
        <v>30</v>
      </c>
      <c r="R35" s="16">
        <v>45940</v>
      </c>
      <c r="S35" s="16">
        <v>45961</v>
      </c>
      <c r="T35" s="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68E1-BE2E-4E81-A308-90243A4319A5}">
  <dimension ref="A1:F32"/>
  <sheetViews>
    <sheetView tabSelected="1" workbookViewId="0">
      <selection activeCell="L9" sqref="L9"/>
    </sheetView>
  </sheetViews>
  <sheetFormatPr defaultRowHeight="14.4" x14ac:dyDescent="0.3"/>
  <cols>
    <col min="1" max="1" width="49.21875" bestFit="1" customWidth="1"/>
    <col min="2" max="2" width="8.109375" bestFit="1" customWidth="1"/>
    <col min="3" max="3" width="10.109375" bestFit="1" customWidth="1"/>
    <col min="4" max="4" width="6" bestFit="1" customWidth="1"/>
    <col min="5" max="5" width="8.44140625" bestFit="1" customWidth="1"/>
    <col min="6" max="6" width="8.21875" bestFit="1" customWidth="1"/>
  </cols>
  <sheetData>
    <row r="1" spans="1:6" ht="43.2" x14ac:dyDescent="0.3">
      <c r="A1" s="22" t="s">
        <v>52</v>
      </c>
      <c r="B1" s="22" t="s">
        <v>53</v>
      </c>
      <c r="C1" s="22" t="s">
        <v>54</v>
      </c>
      <c r="D1" s="40" t="s">
        <v>5</v>
      </c>
      <c r="E1" s="22" t="s">
        <v>55</v>
      </c>
      <c r="F1" s="22" t="s">
        <v>56</v>
      </c>
    </row>
    <row r="2" spans="1:6" ht="28.8" x14ac:dyDescent="0.3">
      <c r="A2" s="23" t="s">
        <v>57</v>
      </c>
      <c r="B2" s="23" t="s">
        <v>58</v>
      </c>
      <c r="C2" s="24">
        <v>43905</v>
      </c>
      <c r="D2" s="25">
        <v>80000</v>
      </c>
      <c r="E2" s="25">
        <v>4.5</v>
      </c>
      <c r="F2" s="23" t="s">
        <v>59</v>
      </c>
    </row>
    <row r="3" spans="1:6" x14ac:dyDescent="0.3">
      <c r="A3" s="23" t="s">
        <v>60</v>
      </c>
      <c r="B3" s="23" t="s">
        <v>61</v>
      </c>
      <c r="C3" s="24">
        <v>43291</v>
      </c>
      <c r="D3" s="25">
        <v>48000</v>
      </c>
      <c r="E3" s="25">
        <v>3</v>
      </c>
      <c r="F3" s="23" t="s">
        <v>62</v>
      </c>
    </row>
    <row r="4" spans="1:6" x14ac:dyDescent="0.3">
      <c r="A4" s="23" t="s">
        <v>63</v>
      </c>
      <c r="B4" s="23" t="s">
        <v>64</v>
      </c>
      <c r="C4" s="24">
        <v>44216</v>
      </c>
      <c r="D4" s="25">
        <v>70000</v>
      </c>
      <c r="E4" s="25">
        <v>4.8</v>
      </c>
      <c r="F4" s="23" t="s">
        <v>65</v>
      </c>
    </row>
    <row r="5" spans="1:6" ht="28.8" x14ac:dyDescent="0.3">
      <c r="A5" s="23" t="s">
        <v>66</v>
      </c>
      <c r="B5" s="23" t="s">
        <v>67</v>
      </c>
      <c r="C5" s="24">
        <v>43794</v>
      </c>
      <c r="D5" s="25">
        <v>65000</v>
      </c>
      <c r="E5" s="25">
        <v>4</v>
      </c>
      <c r="F5" s="23" t="s">
        <v>59</v>
      </c>
    </row>
    <row r="6" spans="1:6" x14ac:dyDescent="0.3">
      <c r="A6" s="23" t="s">
        <v>68</v>
      </c>
      <c r="B6" s="23" t="s">
        <v>58</v>
      </c>
      <c r="C6" s="24">
        <v>44742</v>
      </c>
      <c r="D6" s="25">
        <v>53000</v>
      </c>
      <c r="E6" s="25">
        <v>3.5</v>
      </c>
      <c r="F6" s="23" t="s">
        <v>62</v>
      </c>
    </row>
    <row r="7" spans="1:6" x14ac:dyDescent="0.3">
      <c r="A7" s="23" t="s">
        <v>69</v>
      </c>
      <c r="B7" s="23" t="s">
        <v>61</v>
      </c>
      <c r="C7" s="24">
        <v>43969</v>
      </c>
      <c r="D7" s="25">
        <v>60000</v>
      </c>
      <c r="E7" s="25">
        <v>4.2</v>
      </c>
      <c r="F7" s="23" t="s">
        <v>70</v>
      </c>
    </row>
    <row r="8" spans="1:6" x14ac:dyDescent="0.3">
      <c r="A8" s="23" t="s">
        <v>71</v>
      </c>
      <c r="B8" s="23" t="s">
        <v>64</v>
      </c>
      <c r="C8" s="24">
        <v>44481</v>
      </c>
      <c r="D8" s="25">
        <v>75000</v>
      </c>
      <c r="E8" s="25">
        <v>5</v>
      </c>
      <c r="F8" s="23" t="s">
        <v>65</v>
      </c>
    </row>
    <row r="9" spans="1:6" ht="28.8" x14ac:dyDescent="0.3">
      <c r="A9" s="23" t="s">
        <v>72</v>
      </c>
      <c r="B9" s="23" t="s">
        <v>67</v>
      </c>
      <c r="C9" s="24">
        <v>42802</v>
      </c>
      <c r="D9" s="25">
        <v>58000</v>
      </c>
      <c r="E9" s="25">
        <v>3.8</v>
      </c>
      <c r="F9" s="23" t="s">
        <v>70</v>
      </c>
    </row>
    <row r="10" spans="1:6" x14ac:dyDescent="0.3">
      <c r="A10" s="23" t="s">
        <v>73</v>
      </c>
      <c r="B10" s="23" t="s">
        <v>58</v>
      </c>
      <c r="C10" s="24">
        <v>44958</v>
      </c>
      <c r="D10" s="25">
        <v>50000</v>
      </c>
      <c r="E10" s="25">
        <v>3.2</v>
      </c>
      <c r="F10" s="23" t="s">
        <v>62</v>
      </c>
    </row>
    <row r="11" spans="1:6" x14ac:dyDescent="0.3">
      <c r="A11" s="23" t="s">
        <v>74</v>
      </c>
      <c r="B11" s="23" t="s">
        <v>64</v>
      </c>
      <c r="C11" s="24">
        <v>43696</v>
      </c>
      <c r="D11" s="25">
        <v>72000</v>
      </c>
      <c r="E11" s="25">
        <v>4.5999999999999996</v>
      </c>
      <c r="F11" s="23" t="s">
        <v>65</v>
      </c>
    </row>
    <row r="12" spans="1:6" x14ac:dyDescent="0.3">
      <c r="A12" s="26"/>
      <c r="B12" s="26"/>
      <c r="C12" s="26"/>
      <c r="D12" s="26"/>
      <c r="E12" s="26"/>
      <c r="F12" s="26"/>
    </row>
    <row r="13" spans="1:6" ht="15.6" x14ac:dyDescent="0.3">
      <c r="A13" s="27" t="s">
        <v>75</v>
      </c>
      <c r="B13" s="26"/>
      <c r="C13" s="26"/>
      <c r="D13" s="26"/>
      <c r="E13" s="26"/>
      <c r="F13" s="26"/>
    </row>
    <row r="14" spans="1:6" x14ac:dyDescent="0.3">
      <c r="A14" s="26"/>
      <c r="B14" s="26"/>
      <c r="C14" s="26"/>
      <c r="D14" s="26"/>
      <c r="E14" s="26"/>
      <c r="F14" s="26"/>
    </row>
    <row r="15" spans="1:6" x14ac:dyDescent="0.3">
      <c r="A15" s="28" t="s">
        <v>76</v>
      </c>
      <c r="B15" s="26"/>
      <c r="C15" s="26"/>
      <c r="D15" s="26"/>
      <c r="E15" s="26"/>
      <c r="F15" s="26"/>
    </row>
    <row r="16" spans="1:6" x14ac:dyDescent="0.3">
      <c r="A16" s="26"/>
      <c r="B16" s="26"/>
      <c r="C16" s="26"/>
      <c r="D16" s="26"/>
      <c r="E16" s="26"/>
      <c r="F16" s="26"/>
    </row>
    <row r="17" spans="1:6" x14ac:dyDescent="0.3">
      <c r="A17" s="26"/>
      <c r="B17" s="26"/>
      <c r="C17" s="26"/>
      <c r="D17" s="26"/>
      <c r="E17" s="26"/>
      <c r="F17" s="26"/>
    </row>
    <row r="18" spans="1:6" x14ac:dyDescent="0.3">
      <c r="A18" s="26"/>
      <c r="B18" s="26"/>
      <c r="C18" s="26"/>
      <c r="D18" s="26"/>
      <c r="E18" s="26"/>
      <c r="F18" s="26"/>
    </row>
    <row r="19" spans="1:6" x14ac:dyDescent="0.3">
      <c r="A19" s="28" t="s">
        <v>77</v>
      </c>
      <c r="B19" s="26"/>
      <c r="C19" s="26"/>
      <c r="D19" s="26"/>
      <c r="E19" s="26"/>
      <c r="F19" s="26"/>
    </row>
    <row r="20" spans="1:6" x14ac:dyDescent="0.3">
      <c r="A20" s="26"/>
      <c r="B20" s="26"/>
      <c r="C20" s="26"/>
      <c r="D20" s="26"/>
      <c r="E20" s="26"/>
      <c r="F20" s="26"/>
    </row>
    <row r="21" spans="1:6" x14ac:dyDescent="0.3">
      <c r="A21" s="28" t="s">
        <v>78</v>
      </c>
      <c r="B21" s="26"/>
      <c r="C21" s="26"/>
      <c r="D21" s="26"/>
      <c r="E21" s="26"/>
      <c r="F21" s="26"/>
    </row>
    <row r="22" spans="1:6" x14ac:dyDescent="0.3">
      <c r="A22" s="26"/>
      <c r="B22" s="26"/>
      <c r="C22" s="26"/>
      <c r="D22" s="26"/>
      <c r="E22" s="26"/>
      <c r="F22" s="26"/>
    </row>
    <row r="23" spans="1:6" x14ac:dyDescent="0.3">
      <c r="A23" s="28" t="s">
        <v>79</v>
      </c>
      <c r="B23" s="26"/>
      <c r="C23" s="26"/>
      <c r="D23" s="26"/>
      <c r="E23" s="26"/>
      <c r="F23" s="26"/>
    </row>
    <row r="24" spans="1:6" x14ac:dyDescent="0.3">
      <c r="A24" s="26"/>
      <c r="B24" s="26"/>
      <c r="C24" s="26"/>
      <c r="D24" s="26"/>
      <c r="E24" s="26"/>
      <c r="F24" s="26"/>
    </row>
    <row r="25" spans="1:6" x14ac:dyDescent="0.3">
      <c r="A25" s="26"/>
      <c r="B25" s="26"/>
      <c r="C25" s="26"/>
      <c r="D25" s="26"/>
      <c r="E25" s="26"/>
      <c r="F25" s="26"/>
    </row>
    <row r="26" spans="1:6" x14ac:dyDescent="0.3">
      <c r="A26" s="21"/>
      <c r="B26" s="21"/>
      <c r="C26" s="21"/>
      <c r="D26" s="21"/>
      <c r="E26" s="21"/>
      <c r="F26" s="21"/>
    </row>
    <row r="27" spans="1:6" x14ac:dyDescent="0.3">
      <c r="A27" s="21"/>
      <c r="B27" s="21"/>
      <c r="C27" s="21"/>
      <c r="D27" s="21"/>
      <c r="E27" s="21"/>
      <c r="F27" s="21"/>
    </row>
    <row r="28" spans="1:6" x14ac:dyDescent="0.3">
      <c r="A28" s="21"/>
      <c r="B28" s="21"/>
      <c r="C28" s="21"/>
      <c r="D28" s="21"/>
      <c r="E28" s="21"/>
      <c r="F28" s="21"/>
    </row>
    <row r="29" spans="1:6" x14ac:dyDescent="0.3">
      <c r="A29" s="21"/>
      <c r="B29" s="21"/>
      <c r="C29" s="21"/>
      <c r="D29" s="21"/>
      <c r="E29" s="21"/>
      <c r="F29" s="21"/>
    </row>
    <row r="30" spans="1:6" x14ac:dyDescent="0.3">
      <c r="A30" s="21"/>
      <c r="B30" s="21"/>
      <c r="C30" s="21"/>
      <c r="D30" s="21"/>
      <c r="E30" s="21"/>
      <c r="F30" s="21"/>
    </row>
    <row r="31" spans="1:6" x14ac:dyDescent="0.3">
      <c r="A31" s="21"/>
      <c r="B31" s="21"/>
      <c r="C31" s="21"/>
      <c r="D31" s="21"/>
      <c r="E31" s="21"/>
      <c r="F31" s="21"/>
    </row>
    <row r="32" spans="1:6" x14ac:dyDescent="0.3">
      <c r="A32" s="21"/>
      <c r="B32" s="21"/>
      <c r="C32" s="21"/>
      <c r="D32" s="21"/>
      <c r="E32" s="21"/>
      <c r="F32" s="21"/>
    </row>
  </sheetData>
  <conditionalFormatting sqref="D1:D1048576">
    <cfRule type="cellIs" dxfId="4" priority="6" operator="greaterThan">
      <formula>65000</formula>
    </cfRule>
  </conditionalFormatting>
  <conditionalFormatting sqref="E1:E1048576">
    <cfRule type="cellIs" dxfId="2" priority="5" operator="lessThan">
      <formula>3.5</formula>
    </cfRule>
  </conditionalFormatting>
  <conditionalFormatting sqref="A23">
    <cfRule type="expression" dxfId="1" priority="4">
      <formula>"C2=EDATE(TODAY(),-24)"</formula>
    </cfRule>
  </conditionalFormatting>
  <conditionalFormatting sqref="C1:C1048576">
    <cfRule type="expression" dxfId="0" priority="2">
      <formula>"C2&gt;=EDATE(TODAY(),-24))"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 &amp; Time</vt:lpstr>
      <vt:lpstr>conditional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Trainer 2</dc:creator>
  <cp:lastModifiedBy>Sanjana .</cp:lastModifiedBy>
  <dcterms:created xsi:type="dcterms:W3CDTF">2025-09-07T04:52:41Z</dcterms:created>
  <dcterms:modified xsi:type="dcterms:W3CDTF">2025-09-12T08:09:11Z</dcterms:modified>
</cp:coreProperties>
</file>