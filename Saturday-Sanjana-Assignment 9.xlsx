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anju\Downloads\"/>
    </mc:Choice>
  </mc:AlternateContent>
  <xr:revisionPtr revIDLastSave="0" documentId="13_ncr:1_{A7EA83D6-A0E1-4587-9314-75164EB81C0B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cel Sorting Assignment" sheetId="1" r:id="rId1"/>
    <sheet name="Questions" sheetId="2" r:id="rId2"/>
    <sheet name="Sorting" sheetId="3" r:id="rId3"/>
  </sheets>
  <definedNames>
    <definedName name="_xlnm._FilterDatabase" localSheetId="2" hidden="1">Sorting!$I$24:$K$30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0" i="1" l="1" a="1"/>
  <c r="A60" i="1" s="1"/>
  <c r="B49" i="1" a="1"/>
  <c r="B49" i="1" s="1"/>
  <c r="G42" i="1" a="1"/>
  <c r="G42" i="1" s="1"/>
  <c r="E42" i="1" a="1"/>
  <c r="E42" i="1" s="1"/>
  <c r="C42" i="1" a="1"/>
  <c r="C4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<sst xmlns="http://schemas.openxmlformats.org/spreadsheetml/2006/main" count="363" uniqueCount="178">
  <si>
    <t>Q1. Sort Employee Ages</t>
  </si>
  <si>
    <t>Employee</t>
  </si>
  <si>
    <t>Age</t>
  </si>
  <si>
    <t>Karan</t>
  </si>
  <si>
    <t>Priya</t>
  </si>
  <si>
    <t>Mohit</t>
  </si>
  <si>
    <t>Asha</t>
  </si>
  <si>
    <t>Q2. Multi-Column Sorting</t>
  </si>
  <si>
    <t>Student</t>
  </si>
  <si>
    <t>Class</t>
  </si>
  <si>
    <t>Marks</t>
  </si>
  <si>
    <t>Riya</t>
  </si>
  <si>
    <t>Aarav</t>
  </si>
  <si>
    <t>Sneha</t>
  </si>
  <si>
    <t>Vivek</t>
  </si>
  <si>
    <t>Q3. Sort by Cell Color</t>
  </si>
  <si>
    <t>Task</t>
  </si>
  <si>
    <t>Status</t>
  </si>
  <si>
    <t>Report</t>
  </si>
  <si>
    <t>Meeting</t>
  </si>
  <si>
    <t>Analysis</t>
  </si>
  <si>
    <t>Review</t>
  </si>
  <si>
    <t>Q4. Custom Sort – Priorities</t>
  </si>
  <si>
    <t>Issue</t>
  </si>
  <si>
    <t>Priority</t>
  </si>
  <si>
    <t>Bug 1</t>
  </si>
  <si>
    <t>Bug 2</t>
  </si>
  <si>
    <t>Bug 3</t>
  </si>
  <si>
    <t>Bug 4</t>
  </si>
  <si>
    <t>Q5. Custom List – Days of Week</t>
  </si>
  <si>
    <t>Day</t>
  </si>
  <si>
    <t>Attendance</t>
  </si>
  <si>
    <t>Wednesday</t>
  </si>
  <si>
    <t>Monday</t>
  </si>
  <si>
    <t>Tuesday</t>
  </si>
  <si>
    <t>Product</t>
  </si>
  <si>
    <t>Sales</t>
  </si>
  <si>
    <t>Pen</t>
  </si>
  <si>
    <t>Book</t>
  </si>
  <si>
    <t>Bag</t>
  </si>
  <si>
    <t>Done</t>
  </si>
  <si>
    <t>Pending</t>
  </si>
  <si>
    <t>a) Sort employees by Age (ascending).
b) Sort employees by Age (descending).</t>
  </si>
  <si>
    <t>First sort by Class (smallest to largest), then by Marks (highest to lowest).</t>
  </si>
  <si>
    <t>Arrange so that all Green color Done tasks appear at the top.</t>
  </si>
  <si>
    <t>Normal</t>
  </si>
  <si>
    <t>Urgent</t>
  </si>
  <si>
    <t>Later</t>
  </si>
  <si>
    <r>
      <t xml:space="preserve">Sorting order would then be: </t>
    </r>
    <r>
      <rPr>
        <b/>
        <sz val="11"/>
        <color rgb="FF000000"/>
        <rFont val="Calibri"/>
      </rPr>
      <t>Urgent → Normal → Later</t>
    </r>
    <r>
      <rPr>
        <sz val="11"/>
        <color rgb="FF000000"/>
        <rFont val="Calibri"/>
      </rPr>
      <t>.</t>
    </r>
  </si>
  <si>
    <t>Sort the days in calendar order (Mon → Tue → Wed).</t>
  </si>
  <si>
    <r>
      <t xml:space="preserve">b) Sort all the </t>
    </r>
    <r>
      <rPr>
        <b/>
        <sz val="11"/>
        <color rgb="FF000000"/>
        <rFont val="Calibri"/>
      </rPr>
      <t>fruits according to their Price</t>
    </r>
    <r>
      <rPr>
        <sz val="11"/>
        <color rgb="FF000000"/>
        <rFont val="Calibri"/>
      </rPr>
      <t xml:space="preserve"> in descending order.</t>
    </r>
  </si>
  <si>
    <t>Category</t>
  </si>
  <si>
    <t>Apple</t>
  </si>
  <si>
    <t>Banana</t>
  </si>
  <si>
    <t>Mango</t>
  </si>
  <si>
    <t>Orange</t>
  </si>
  <si>
    <t>Grapes</t>
  </si>
  <si>
    <t>Quantity</t>
  </si>
  <si>
    <t>Price</t>
  </si>
  <si>
    <t xml:space="preserve">Q8. </t>
  </si>
  <si>
    <t xml:space="preserve">Q7. </t>
  </si>
  <si>
    <t>Q6.</t>
  </si>
  <si>
    <t>Emp ID</t>
  </si>
  <si>
    <t>Name</t>
  </si>
  <si>
    <t>Department</t>
  </si>
  <si>
    <t>Job Title</t>
  </si>
  <si>
    <t>Salary</t>
  </si>
  <si>
    <t>Joining Date</t>
  </si>
  <si>
    <t>E101</t>
  </si>
  <si>
    <t>Rahul Mehta</t>
  </si>
  <si>
    <t>HR</t>
  </si>
  <si>
    <t>Executive</t>
  </si>
  <si>
    <t>E102</t>
  </si>
  <si>
    <t>Sneha Verma</t>
  </si>
  <si>
    <t>IT</t>
  </si>
  <si>
    <t>Developer</t>
  </si>
  <si>
    <t>E103</t>
  </si>
  <si>
    <t>Amit Singh</t>
  </si>
  <si>
    <t>Finance</t>
  </si>
  <si>
    <t>Analyst</t>
  </si>
  <si>
    <t>E104</t>
  </si>
  <si>
    <t>Kiran Rao</t>
  </si>
  <si>
    <t>E105</t>
  </si>
  <si>
    <t>Neha Gupta</t>
  </si>
  <si>
    <t>Manager</t>
  </si>
  <si>
    <t>E106</t>
  </si>
  <si>
    <t>Manish Jain</t>
  </si>
  <si>
    <t>E107</t>
  </si>
  <si>
    <t>Priya Nair</t>
  </si>
  <si>
    <t>Tester</t>
  </si>
  <si>
    <t>E108</t>
  </si>
  <si>
    <t>Arjun Roy</t>
  </si>
  <si>
    <t>E109</t>
  </si>
  <si>
    <t>Divya Sharma</t>
  </si>
  <si>
    <t>E110</t>
  </si>
  <si>
    <t>Rohan Das</t>
  </si>
  <si>
    <t>E111</t>
  </si>
  <si>
    <t>Ankit Yadav</t>
  </si>
  <si>
    <t>E112</t>
  </si>
  <si>
    <t>Sunita Rani</t>
  </si>
  <si>
    <t>E113</t>
  </si>
  <si>
    <t>Mohit Agarwal</t>
  </si>
  <si>
    <t>E114</t>
  </si>
  <si>
    <t>Kavita Joshi</t>
  </si>
  <si>
    <t>E115</t>
  </si>
  <si>
    <t>Vivek Kumar</t>
  </si>
  <si>
    <t>E116</t>
  </si>
  <si>
    <t>Alok Singh</t>
  </si>
  <si>
    <t>E117</t>
  </si>
  <si>
    <t>Ritu Sharma</t>
  </si>
  <si>
    <t>E118</t>
  </si>
  <si>
    <t>Sanjay Rao</t>
  </si>
  <si>
    <t>E119</t>
  </si>
  <si>
    <t>Pooja Jain</t>
  </si>
  <si>
    <t>E120</t>
  </si>
  <si>
    <t>Harsh Patel</t>
  </si>
  <si>
    <t>Q9. and Q10.</t>
  </si>
  <si>
    <r>
      <rPr>
        <b/>
        <sz val="11"/>
        <color rgb="FF1F4A7E"/>
        <rFont val="Calibri"/>
      </rPr>
      <t>Q10.</t>
    </r>
    <r>
      <rPr>
        <sz val="11"/>
        <color rgb="FF000000"/>
        <rFont val="Calibri"/>
      </rPr>
      <t xml:space="preserve">
Sort the dataset based on the following criteria:
Department → Ascending order (A → Z)
Salary → Descending order (highest salary first within each department)
Write the formula to achieve this sorting.</t>
    </r>
  </si>
  <si>
    <r>
      <rPr>
        <b/>
        <sz val="11"/>
        <color rgb="FF1F4A7E"/>
        <rFont val="Calibri"/>
      </rPr>
      <t>Q8.</t>
    </r>
    <r>
      <rPr>
        <sz val="11"/>
        <color rgb="FF000000"/>
        <rFont val="Calibri"/>
      </rPr>
      <t xml:space="preserve">
a) Sort all the </t>
    </r>
    <r>
      <rPr>
        <b/>
        <sz val="11"/>
        <color rgb="FF000000"/>
        <rFont val="Calibri"/>
      </rPr>
      <t>fruits according to their Quantity</t>
    </r>
    <r>
      <rPr>
        <sz val="11"/>
        <color rgb="FF000000"/>
        <rFont val="Calibri"/>
      </rPr>
      <t xml:space="preserve"> in descending order.</t>
    </r>
  </si>
  <si>
    <r>
      <rPr>
        <b/>
        <sz val="11"/>
        <color rgb="FF1F4A7E"/>
        <rFont val="Calibri"/>
      </rPr>
      <t>Q7.</t>
    </r>
    <r>
      <rPr>
        <sz val="11"/>
        <color rgb="FF000000"/>
        <rFont val="Calibri"/>
      </rPr>
      <t xml:space="preserve">
a) Use a formula to sort Marks in descending order.
b) Add a new mark 95 and check if the sorted result updates automatically.</t>
    </r>
  </si>
  <si>
    <r>
      <rPr>
        <b/>
        <sz val="11"/>
        <color rgb="FF1F4A7E"/>
        <rFont val="Calibri"/>
      </rPr>
      <t xml:space="preserve">Q6. </t>
    </r>
    <r>
      <rPr>
        <sz val="11"/>
        <color rgb="FF000000"/>
        <rFont val="Calibri"/>
      </rPr>
      <t xml:space="preserve">
a) Sort by Sales in ascending order using a formula.
b) Sort by Sales in descending order using a formula.
c) Sort by Product name alphabetically using a formula.</t>
    </r>
  </si>
  <si>
    <r>
      <rPr>
        <b/>
        <sz val="11"/>
        <color rgb="FF1F4A7E"/>
        <rFont val="Calibri"/>
      </rPr>
      <t>Q5</t>
    </r>
    <r>
      <rPr>
        <sz val="11"/>
        <color rgb="FF000000"/>
        <rFont val="Calibri"/>
      </rPr>
      <t>. Custom List – Days of Week</t>
    </r>
  </si>
  <si>
    <r>
      <rPr>
        <b/>
        <sz val="11"/>
        <color rgb="FF1F4A7E"/>
        <rFont val="Calibri"/>
      </rPr>
      <t>Q4.</t>
    </r>
    <r>
      <rPr>
        <sz val="11"/>
        <color rgb="FF000000"/>
        <rFont val="Calibri"/>
      </rPr>
      <t xml:space="preserve"> Custom Sort – Priorities</t>
    </r>
  </si>
  <si>
    <r>
      <rPr>
        <b/>
        <sz val="11"/>
        <color rgb="FF1F4A7E"/>
        <rFont val="Calibri"/>
      </rPr>
      <t>Q3</t>
    </r>
    <r>
      <rPr>
        <sz val="11"/>
        <color rgb="FF000000"/>
        <rFont val="Calibri"/>
      </rPr>
      <t>. Sort by Cell Color</t>
    </r>
  </si>
  <si>
    <r>
      <rPr>
        <b/>
        <sz val="11"/>
        <color rgb="FF1F4A7E"/>
        <rFont val="Calibri"/>
      </rPr>
      <t>Q2.</t>
    </r>
    <r>
      <rPr>
        <sz val="11"/>
        <color rgb="FF000000"/>
        <rFont val="Calibri"/>
      </rPr>
      <t xml:space="preserve"> Multi-Column Sorting</t>
    </r>
  </si>
  <si>
    <r>
      <rPr>
        <b/>
        <sz val="11"/>
        <color rgb="FF1F4A7E"/>
        <rFont val="Calibri"/>
      </rPr>
      <t>Q1.</t>
    </r>
    <r>
      <rPr>
        <sz val="11"/>
        <color rgb="FF000000"/>
        <rFont val="Calibri"/>
      </rPr>
      <t xml:space="preserve"> Sort Employee Ages</t>
    </r>
  </si>
  <si>
    <t>Q9.
You are given the employee dataset with columns: Emp ID, Name, Department, Job Title, Salary, Joining Date.
You are required to perform a custom sort on the dataset using the following rules:
Department – Sort alphabetically in the order:
Finance → HR → IT → Sales
Job Title – Sort in the custom order:
Manager → Analyst → Developer → Tester → Executive
Salary – Sort from Largest to Smallest
Apply the above sorting rules and present the final sorted employee table.</t>
  </si>
  <si>
    <r>
      <rPr>
        <b/>
        <sz val="11"/>
        <color rgb="FF000000"/>
        <rFont val="Calibri"/>
      </rPr>
      <t>Student Name</t>
    </r>
  </si>
  <si>
    <r>
      <rPr>
        <b/>
        <sz val="11"/>
        <color rgb="FF000000"/>
        <rFont val="Calibri"/>
      </rPr>
      <t>Subject</t>
    </r>
  </si>
  <si>
    <r>
      <rPr>
        <b/>
        <sz val="11"/>
        <color rgb="FF000000"/>
        <rFont val="Calibri"/>
      </rPr>
      <t>Score</t>
    </r>
  </si>
  <si>
    <r>
      <rPr>
        <b/>
        <sz val="11"/>
        <color rgb="FF000000"/>
        <rFont val="Calibri"/>
      </rPr>
      <t>Grade</t>
    </r>
  </si>
  <si>
    <r>
      <rPr>
        <b/>
        <sz val="11"/>
        <color rgb="FF000000"/>
        <rFont val="Calibri"/>
      </rPr>
      <t>Passed</t>
    </r>
  </si>
  <si>
    <r>
      <rPr>
        <sz val="11"/>
        <color rgb="FF000000"/>
        <rFont val="Calibri"/>
      </rPr>
      <t>Alice</t>
    </r>
  </si>
  <si>
    <r>
      <rPr>
        <sz val="11"/>
        <color rgb="FF000000"/>
        <rFont val="Calibri"/>
      </rPr>
      <t>Math</t>
    </r>
  </si>
  <si>
    <r>
      <rPr>
        <sz val="11"/>
        <color rgb="FF000000"/>
        <rFont val="Calibri"/>
      </rPr>
      <t>Bob</t>
    </r>
  </si>
  <si>
    <r>
      <rPr>
        <sz val="11"/>
        <color rgb="FF000000"/>
        <rFont val="Calibri"/>
      </rPr>
      <t>Science</t>
    </r>
  </si>
  <si>
    <r>
      <rPr>
        <sz val="11"/>
        <color rgb="FF000000"/>
        <rFont val="Calibri"/>
      </rPr>
      <t>Carla</t>
    </r>
  </si>
  <si>
    <r>
      <rPr>
        <sz val="11"/>
        <color rgb="FF000000"/>
        <rFont val="Calibri"/>
      </rPr>
      <t>Math</t>
    </r>
  </si>
  <si>
    <r>
      <rPr>
        <sz val="11"/>
        <color rgb="FF000000"/>
        <rFont val="Calibri"/>
      </rPr>
      <t>David</t>
    </r>
  </si>
  <si>
    <r>
      <rPr>
        <sz val="11"/>
        <color rgb="FF000000"/>
        <rFont val="Calibri"/>
      </rPr>
      <t>History</t>
    </r>
  </si>
  <si>
    <r>
      <rPr>
        <sz val="11"/>
        <color rgb="FF000000"/>
        <rFont val="Calibri"/>
      </rPr>
      <t>Eva</t>
    </r>
  </si>
  <si>
    <r>
      <rPr>
        <sz val="11"/>
        <color rgb="FF000000"/>
        <rFont val="Calibri"/>
      </rPr>
      <t>Science</t>
    </r>
  </si>
  <si>
    <r>
      <rPr>
        <sz val="11"/>
        <color rgb="FF000000"/>
        <rFont val="Calibri"/>
      </rPr>
      <t>Frank</t>
    </r>
  </si>
  <si>
    <r>
      <rPr>
        <sz val="11"/>
        <color rgb="FF000000"/>
        <rFont val="Calibri"/>
      </rPr>
      <t>History</t>
    </r>
  </si>
  <si>
    <r>
      <rPr>
        <b/>
        <sz val="10"/>
        <color rgb="FF000000"/>
        <rFont val="Calibri"/>
      </rPr>
      <t>Part 1: Conditional Formatting</t>
    </r>
  </si>
  <si>
    <r>
      <rPr>
        <sz val="10"/>
        <color rgb="FF000000"/>
        <rFont val="Calibri"/>
      </rPr>
      <t>Tasks:</t>
    </r>
  </si>
  <si>
    <r>
      <rPr>
        <sz val="10"/>
        <color rgb="FF000000"/>
        <rFont val="Calibri"/>
      </rPr>
      <t>1. Highlight all scores below 50 in red.</t>
    </r>
  </si>
  <si>
    <r>
      <rPr>
        <sz val="10"/>
        <color rgb="FF000000"/>
        <rFont val="Calibri"/>
      </rPr>
      <t>2. Use a color scale to visually represent scores (green = high, red = low).</t>
    </r>
  </si>
  <si>
    <r>
      <rPr>
        <sz val="10"/>
        <color rgb="FF000000"/>
        <rFont val="Calibri"/>
      </rPr>
      <t>3. Highlight the entire row in light green if the "Passed"column is TRUE.</t>
    </r>
  </si>
  <si>
    <r>
      <rPr>
        <b/>
        <sz val="10"/>
        <color rgb="FF000000"/>
        <rFont val="Calibri"/>
      </rPr>
      <t>Part 2: Sort</t>
    </r>
  </si>
  <si>
    <r>
      <rPr>
        <sz val="10"/>
        <color rgb="FF000000"/>
        <rFont val="Calibri"/>
      </rPr>
      <t>Tasks:</t>
    </r>
  </si>
  <si>
    <r>
      <rPr>
        <sz val="10"/>
        <color rgb="FF000000"/>
        <rFont val="Calibri"/>
      </rPr>
      <t>1. Sort the data by Score in descending order.</t>
    </r>
  </si>
  <si>
    <r>
      <rPr>
        <sz val="10"/>
        <color rgb="FF000000"/>
        <rFont val="Calibri"/>
      </rPr>
      <t>2. Then sort alphabetically by Student Name within each Subject group.</t>
    </r>
  </si>
  <si>
    <r>
      <rPr>
        <b/>
        <sz val="10"/>
        <color rgb="FF000000"/>
        <rFont val="Calibri"/>
      </rPr>
      <t>Part 3: Filter</t>
    </r>
  </si>
  <si>
    <r>
      <rPr>
        <sz val="10"/>
        <color rgb="FF000000"/>
        <rFont val="Calibri"/>
      </rPr>
      <t>Tasks:</t>
    </r>
  </si>
  <si>
    <r>
      <rPr>
        <sz val="10"/>
        <color rgb="FF000000"/>
        <rFont val="Calibri"/>
      </rPr>
      <t>1. Filter to show only students who scored above 60.</t>
    </r>
  </si>
  <si>
    <r>
      <rPr>
        <sz val="10"/>
        <color rgb="FF000000"/>
        <rFont val="Calibri"/>
      </rPr>
      <t>2. Filter to display only records where Subject = "Math"and Score &lt;90.</t>
    </r>
  </si>
  <si>
    <r>
      <rPr>
        <b/>
        <sz val="10"/>
        <color rgb="FF000000"/>
        <rFont val="Calibri"/>
      </rPr>
      <t>Part 4: Array Functions (Excel 365 / Excel 2021)</t>
    </r>
  </si>
  <si>
    <r>
      <rPr>
        <sz val="10"/>
        <color rgb="FF000000"/>
        <rFont val="Calibri"/>
      </rPr>
      <t>Tasks:</t>
    </r>
  </si>
  <si>
    <r>
      <rPr>
        <sz val="10"/>
        <color rgb="FF000000"/>
        <rFont val="Calibri"/>
      </rPr>
      <t xml:space="preserve">1. Use </t>
    </r>
    <r>
      <rPr>
        <sz val="10"/>
        <color rgb="FF000000"/>
        <rFont val="Arial Unicode MS"/>
      </rPr>
      <t>=SORT()</t>
    </r>
    <r>
      <rPr>
        <sz val="10"/>
        <color rgb="FF000000"/>
        <rFont val="Calibri"/>
      </rPr>
      <t xml:space="preserve"> to sort all scores in ascending order in a new column.</t>
    </r>
  </si>
  <si>
    <r>
      <rPr>
        <sz val="10"/>
        <color rgb="FF000000"/>
        <rFont val="Calibri"/>
      </rPr>
      <t xml:space="preserve">2. Use </t>
    </r>
    <r>
      <rPr>
        <sz val="10"/>
        <color rgb="FF000000"/>
        <rFont val="Arial Unicode MS"/>
      </rPr>
      <t>=UNIQUE()</t>
    </r>
    <r>
      <rPr>
        <sz val="10"/>
        <color rgb="FF000000"/>
        <rFont val="Calibri"/>
      </rPr>
      <t xml:space="preserve"> to list all unique subjects.</t>
    </r>
  </si>
  <si>
    <r>
      <rPr>
        <sz val="10"/>
        <color rgb="FF000000"/>
        <rFont val="Calibri"/>
      </rPr>
      <t xml:space="preserve">3. Use </t>
    </r>
    <r>
      <rPr>
        <sz val="10"/>
        <color rgb="FF000000"/>
        <rFont val="Arial Unicode MS"/>
      </rPr>
      <t>=FILTER()</t>
    </r>
    <r>
      <rPr>
        <sz val="10"/>
        <color rgb="FF000000"/>
        <rFont val="Calibri"/>
      </rPr>
      <t xml:space="preserve"> to display all students who passed (Score ≥ 50).</t>
    </r>
  </si>
  <si>
    <r>
      <rPr>
        <sz val="10"/>
        <color rgb="FF000000"/>
        <rFont val="Calibri"/>
      </rPr>
      <t xml:space="preserve">4. Use </t>
    </r>
    <r>
      <rPr>
        <sz val="10"/>
        <color rgb="FF000000"/>
        <rFont val="Arial Unicode MS"/>
      </rPr>
      <t>=IF()</t>
    </r>
    <r>
      <rPr>
        <sz val="10"/>
        <color rgb="FF000000"/>
        <rFont val="Calibri"/>
      </rPr>
      <t xml:space="preserve"> or </t>
    </r>
    <r>
      <rPr>
        <sz val="10"/>
        <color rgb="FF000000"/>
        <rFont val="Arial Unicode MS"/>
      </rPr>
      <t>=IFS()</t>
    </r>
    <r>
      <rPr>
        <sz val="10"/>
        <color rgb="FF000000"/>
        <rFont val="Calibri"/>
      </rPr>
      <t xml:space="preserve"> to assign grades:</t>
    </r>
  </si>
  <si>
    <r>
      <rPr>
        <sz val="10"/>
        <color rgb="FF000000"/>
        <rFont val="Calibri"/>
      </rPr>
      <t>A: 90–100</t>
    </r>
  </si>
  <si>
    <r>
      <rPr>
        <sz val="10"/>
        <color rgb="FF000000"/>
        <rFont val="Calibri"/>
      </rPr>
      <t>B: 75–89</t>
    </r>
  </si>
  <si>
    <r>
      <rPr>
        <sz val="10"/>
        <color rgb="FF000000"/>
        <rFont val="Calibri"/>
      </rPr>
      <t>C: 60–74</t>
    </r>
  </si>
  <si>
    <r>
      <rPr>
        <sz val="10"/>
        <color rgb="FF000000"/>
        <rFont val="Calibri"/>
      </rPr>
      <t>D: 50–59</t>
    </r>
  </si>
  <si>
    <r>
      <rPr>
        <sz val="10"/>
        <color rgb="FF000000"/>
        <rFont val="Calibri"/>
      </rPr>
      <t>F: Below 50</t>
    </r>
  </si>
  <si>
    <t>ASCENDING</t>
  </si>
  <si>
    <t>descending</t>
  </si>
  <si>
    <t>A</t>
  </si>
  <si>
    <t>B</t>
  </si>
  <si>
    <t>C</t>
  </si>
  <si>
    <t>Q10</t>
  </si>
  <si>
    <t>PART 1</t>
  </si>
  <si>
    <t>PART 2</t>
  </si>
  <si>
    <t>CANT SOLVE AS PASSED COLUMN DOESN’T HAVE ANY VALUE AND THERE'S NO CONDITION GIVEN TO SOLVE IT TOO</t>
  </si>
  <si>
    <t>PART 3,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</si>
</sst>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"/>
    <numFmt numFmtId="165" formatCode="dd/mm/yyyy"/>
  </numFmts>
  <fonts count="14">
    <font>
      <sz val="11"/>
      <name val="Calibri"/>
    </font>
    <font>
      <b/>
      <sz val="12"/>
      <name val="Calibri"/>
    </font>
    <font>
      <sz val="11"/>
      <color rgb="FF000000"/>
      <name val="Calibri"/>
    </font>
    <font>
      <b/>
      <sz val="11"/>
      <name val="Calibri"/>
    </font>
    <font>
      <b/>
      <sz val="12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1"/>
      <color rgb="FF1F4A7E"/>
      <name val="Calibri"/>
    </font>
    <font>
      <sz val="10"/>
      <color rgb="FF000000"/>
      <name val="Arial Unicode MS"/>
    </font>
    <font>
      <b/>
      <sz val="1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none">
        <bgColor indexed="64"/>
      </patternFill>
    </fill>
    <fill>
      <patternFill patternType="solid">
        <fgColor theme="0"/>
        <bgColor rgb="FFADD8E6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39997558519241921"/>
        <bgColor rgb="FFADD8E6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2" fillId="5" borderId="0">
      <alignment vertical="center"/>
    </xf>
  </cellStyleXfs>
  <cellXfs count="56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/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5" fontId="2" fillId="0" borderId="0" xfId="0" applyNumberFormat="1" applyFont="1" applyAlignment="1">
      <alignment vertical="center" wrapText="1"/>
    </xf>
    <xf numFmtId="0" fontId="2" fillId="0" borderId="0" xfId="0" applyFont="1" applyAlignment="1">
      <alignment wrapText="1"/>
    </xf>
    <xf numFmtId="0" fontId="5" fillId="5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left" vertical="center" wrapText="1"/>
    </xf>
    <xf numFmtId="0" fontId="6" fillId="5" borderId="0" xfId="0" applyFont="1" applyFill="1" applyAlignment="1">
      <alignment horizontal="right" vertical="center" wrapText="1"/>
    </xf>
    <xf numFmtId="0" fontId="0" fillId="0" borderId="0" xfId="0" applyAlignment="1">
      <alignment vertical="center" wrapText="1"/>
    </xf>
    <xf numFmtId="0" fontId="0" fillId="0" borderId="0" xfId="0" applyAlignment="1"/>
    <xf numFmtId="0" fontId="7" fillId="5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/>
    </xf>
    <xf numFmtId="0" fontId="0" fillId="5" borderId="0" xfId="0" applyFill="1" applyAlignment="1">
      <alignment horizontal="left" vertical="center" indent="1"/>
    </xf>
    <xf numFmtId="0" fontId="8" fillId="5" borderId="0" xfId="0" applyFont="1" applyFill="1" applyAlignment="1">
      <alignment horizontal="left" vertical="center" indent="1"/>
    </xf>
    <xf numFmtId="0" fontId="0" fillId="5" borderId="0" xfId="0" applyFill="1" applyAlignment="1">
      <alignment horizontal="left" vertical="center" indent="2"/>
    </xf>
    <xf numFmtId="0" fontId="8" fillId="5" borderId="0" xfId="0" applyFont="1" applyFill="1" applyAlignment="1">
      <alignment horizontal="left" vertical="center" indent="2"/>
    </xf>
    <xf numFmtId="0" fontId="4" fillId="0" borderId="0" xfId="0" applyFont="1" applyAlignment="1"/>
    <xf numFmtId="0" fontId="2" fillId="0" borderId="0" xfId="0" applyFont="1" applyAlignment="1"/>
    <xf numFmtId="0" fontId="1" fillId="0" borderId="0" xfId="0" applyFont="1" applyAlignment="1"/>
    <xf numFmtId="0" fontId="3" fillId="6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3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0" fillId="9" borderId="0" xfId="0" applyFill="1">
      <alignment vertical="center"/>
    </xf>
    <xf numFmtId="0" fontId="12" fillId="10" borderId="0" xfId="0" applyFont="1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0" xfId="0" applyFill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0" fillId="11" borderId="0" xfId="0" applyFill="1">
      <alignment vertical="center"/>
    </xf>
    <xf numFmtId="0" fontId="0" fillId="12" borderId="0" xfId="0" applyFill="1">
      <alignment vertical="center"/>
    </xf>
    <xf numFmtId="0" fontId="2" fillId="11" borderId="0" xfId="0" applyFont="1" applyFill="1" applyAlignment="1">
      <alignment vertical="center" wrapText="1"/>
    </xf>
    <xf numFmtId="0" fontId="0" fillId="11" borderId="0" xfId="0" applyFill="1" applyAlignment="1">
      <alignment vertical="center"/>
    </xf>
    <xf numFmtId="0" fontId="13" fillId="0" borderId="0" xfId="0" applyFont="1" applyAlignment="1">
      <alignment vertical="center" wrapText="1"/>
    </xf>
    <xf numFmtId="0" fontId="11" fillId="2" borderId="0" xfId="1" applyFont="1" applyFill="1" applyAlignment="1">
      <alignment horizontal="center" vertical="center"/>
    </xf>
    <xf numFmtId="0" fontId="13" fillId="5" borderId="0" xfId="1" applyFont="1" applyAlignment="1">
      <alignment vertical="center" wrapText="1"/>
    </xf>
    <xf numFmtId="165" fontId="13" fillId="5" borderId="0" xfId="1" applyNumberFormat="1" applyFont="1" applyAlignment="1">
      <alignment vertical="center" wrapText="1"/>
    </xf>
    <xf numFmtId="0" fontId="11" fillId="0" borderId="0" xfId="0" applyFont="1" applyAlignment="1">
      <alignment horizontal="center" vertical="center"/>
    </xf>
    <xf numFmtId="0" fontId="11" fillId="13" borderId="0" xfId="0" applyFont="1" applyFill="1" applyAlignment="1">
      <alignment horizontal="center" vertical="center"/>
    </xf>
    <xf numFmtId="0" fontId="5" fillId="13" borderId="0" xfId="0" applyFont="1" applyFill="1" applyAlignment="1">
      <alignment horizontal="center" vertical="center" wrapText="1"/>
    </xf>
    <xf numFmtId="0" fontId="6" fillId="13" borderId="0" xfId="0" applyFont="1" applyFill="1" applyAlignment="1">
      <alignment horizontal="left" vertical="center" wrapText="1"/>
    </xf>
    <xf numFmtId="0" fontId="6" fillId="13" borderId="0" xfId="0" applyFont="1" applyFill="1" applyAlignment="1">
      <alignment horizontal="right" vertical="center" wrapText="1"/>
    </xf>
    <xf numFmtId="0" fontId="11" fillId="14" borderId="0" xfId="0" applyFont="1" applyFill="1" applyBorder="1" applyAlignment="1">
      <alignment horizontal="center" vertical="center"/>
    </xf>
    <xf numFmtId="0" fontId="5" fillId="14" borderId="0" xfId="0" applyFont="1" applyFill="1" applyAlignment="1">
      <alignment horizontal="center" vertical="center" wrapText="1"/>
    </xf>
    <xf numFmtId="0" fontId="6" fillId="14" borderId="0" xfId="0" applyFont="1" applyFill="1" applyAlignment="1">
      <alignment horizontal="left" vertical="center" wrapText="1"/>
    </xf>
    <xf numFmtId="0" fontId="6" fillId="14" borderId="0" xfId="0" applyFont="1" applyFill="1" applyAlignment="1">
      <alignment horizontal="right" vertical="center" wrapText="1"/>
    </xf>
    <xf numFmtId="0" fontId="13" fillId="5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 xr:uid="{597BCC59-906F-4082-A746-AF9E18B2E4A7}"/>
  </cellStyles>
  <dxfs count="1"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www.wps.cn/officeDocument/2020/cellImage" Target="NUL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2"/>
  <sheetViews>
    <sheetView topLeftCell="A45" workbookViewId="0">
      <selection activeCell="K101" sqref="K101"/>
    </sheetView>
  </sheetViews>
  <sheetFormatPr defaultColWidth="10" defaultRowHeight="14.4"/>
  <cols>
    <col min="1" max="1" width="17.77734375" customWidth="1"/>
    <col min="2" max="2" width="16.109375" customWidth="1"/>
    <col min="3" max="3" width="14.77734375" customWidth="1"/>
    <col min="4" max="4" width="14.109375" customWidth="1"/>
    <col min="5" max="5" width="12.88671875" customWidth="1"/>
    <col min="6" max="6" width="16.5546875" customWidth="1"/>
    <col min="11" max="11" width="9.6640625" bestFit="1" customWidth="1"/>
  </cols>
  <sheetData>
    <row r="1" spans="1:11" ht="15.6">
      <c r="A1" s="23" t="s">
        <v>0</v>
      </c>
      <c r="B1" s="22"/>
    </row>
    <row r="2" spans="1:11">
      <c r="A2" s="1" t="s">
        <v>1</v>
      </c>
      <c r="B2" s="1" t="s">
        <v>2</v>
      </c>
      <c r="C2" s="26" t="s">
        <v>168</v>
      </c>
      <c r="D2" s="26" t="s">
        <v>169</v>
      </c>
    </row>
    <row r="3" spans="1:11">
      <c r="A3" s="2" t="s">
        <v>3</v>
      </c>
      <c r="B3" s="2">
        <v>41</v>
      </c>
      <c r="C3" s="25">
        <v>26</v>
      </c>
      <c r="D3" s="25">
        <v>41</v>
      </c>
      <c r="K3" s="3"/>
    </row>
    <row r="4" spans="1:11">
      <c r="A4" s="2" t="s">
        <v>4</v>
      </c>
      <c r="B4" s="2">
        <v>26</v>
      </c>
      <c r="C4" s="25">
        <v>29</v>
      </c>
      <c r="D4" s="25">
        <v>35</v>
      </c>
      <c r="K4" s="3"/>
    </row>
    <row r="5" spans="1:11">
      <c r="A5" s="2" t="s">
        <v>5</v>
      </c>
      <c r="B5" s="2">
        <v>35</v>
      </c>
      <c r="C5" s="25">
        <v>35</v>
      </c>
      <c r="D5" s="25">
        <v>29</v>
      </c>
      <c r="K5" s="3"/>
    </row>
    <row r="6" spans="1:11">
      <c r="A6" s="2" t="s">
        <v>6</v>
      </c>
      <c r="B6" s="2">
        <v>29</v>
      </c>
      <c r="C6" s="25">
        <v>41</v>
      </c>
      <c r="D6" s="25">
        <v>26</v>
      </c>
    </row>
    <row r="9" spans="1:11" ht="15.6">
      <c r="A9" s="23" t="s">
        <v>7</v>
      </c>
      <c r="B9" s="22"/>
      <c r="C9" s="22"/>
    </row>
    <row r="10" spans="1:11">
      <c r="A10" s="1" t="s">
        <v>8</v>
      </c>
      <c r="B10" s="1" t="s">
        <v>9</v>
      </c>
      <c r="C10" s="1" t="s">
        <v>10</v>
      </c>
      <c r="D10" s="24"/>
    </row>
    <row r="11" spans="1:11">
      <c r="A11" s="2" t="s">
        <v>12</v>
      </c>
      <c r="B11" s="25">
        <v>9</v>
      </c>
      <c r="C11" s="25">
        <v>92</v>
      </c>
    </row>
    <row r="12" spans="1:11">
      <c r="A12" s="2" t="s">
        <v>14</v>
      </c>
      <c r="B12" s="25">
        <v>9</v>
      </c>
      <c r="C12" s="25">
        <v>85</v>
      </c>
    </row>
    <row r="13" spans="1:11">
      <c r="A13" s="2" t="s">
        <v>13</v>
      </c>
      <c r="B13" s="25">
        <v>10</v>
      </c>
      <c r="C13" s="25">
        <v>88</v>
      </c>
    </row>
    <row r="14" spans="1:11">
      <c r="A14" s="2" t="s">
        <v>11</v>
      </c>
      <c r="B14" s="25">
        <v>10</v>
      </c>
      <c r="C14" s="25">
        <v>78</v>
      </c>
    </row>
    <row r="17" spans="1:2" ht="15.6">
      <c r="A17" s="23" t="s">
        <v>15</v>
      </c>
      <c r="B17" s="22"/>
    </row>
    <row r="18" spans="1:2">
      <c r="A18" s="1" t="s">
        <v>16</v>
      </c>
      <c r="B18" s="1" t="s">
        <v>17</v>
      </c>
    </row>
    <row r="19" spans="1:2">
      <c r="A19" s="2" t="s">
        <v>18</v>
      </c>
      <c r="B19" s="4" t="s">
        <v>40</v>
      </c>
    </row>
    <row r="20" spans="1:2">
      <c r="A20" s="2" t="s">
        <v>20</v>
      </c>
      <c r="B20" s="4" t="s">
        <v>40</v>
      </c>
    </row>
    <row r="21" spans="1:2">
      <c r="A21" s="2" t="s">
        <v>19</v>
      </c>
      <c r="B21" s="5" t="s">
        <v>41</v>
      </c>
    </row>
    <row r="22" spans="1:2">
      <c r="A22" s="2" t="s">
        <v>21</v>
      </c>
      <c r="B22" s="5" t="s">
        <v>41</v>
      </c>
    </row>
    <row r="25" spans="1:2" ht="15.6">
      <c r="A25" s="23" t="s">
        <v>22</v>
      </c>
      <c r="B25" s="22"/>
    </row>
    <row r="26" spans="1:2">
      <c r="A26" s="1" t="s">
        <v>23</v>
      </c>
      <c r="B26" s="1" t="s">
        <v>24</v>
      </c>
    </row>
    <row r="27" spans="1:2">
      <c r="A27" s="2" t="s">
        <v>26</v>
      </c>
      <c r="B27" s="25" t="s">
        <v>46</v>
      </c>
    </row>
    <row r="28" spans="1:2">
      <c r="A28" s="2" t="s">
        <v>28</v>
      </c>
      <c r="B28" s="25" t="s">
        <v>46</v>
      </c>
    </row>
    <row r="29" spans="1:2">
      <c r="A29" s="2" t="s">
        <v>25</v>
      </c>
      <c r="B29" s="25" t="s">
        <v>45</v>
      </c>
    </row>
    <row r="30" spans="1:2">
      <c r="A30" s="2" t="s">
        <v>27</v>
      </c>
      <c r="B30" s="25" t="s">
        <v>47</v>
      </c>
    </row>
    <row r="33" spans="1:8" ht="15.6">
      <c r="A33" s="23" t="s">
        <v>29</v>
      </c>
      <c r="B33" s="22"/>
    </row>
    <row r="34" spans="1:8">
      <c r="A34" s="27" t="s">
        <v>30</v>
      </c>
      <c r="B34" s="27" t="s">
        <v>31</v>
      </c>
    </row>
    <row r="35" spans="1:8">
      <c r="A35" s="25" t="s">
        <v>33</v>
      </c>
      <c r="B35" s="25">
        <v>38</v>
      </c>
    </row>
    <row r="36" spans="1:8">
      <c r="A36" s="25" t="s">
        <v>34</v>
      </c>
      <c r="B36" s="25">
        <v>42</v>
      </c>
    </row>
    <row r="37" spans="1:8">
      <c r="A37" s="25" t="s">
        <v>32</v>
      </c>
      <c r="B37" s="25">
        <v>45</v>
      </c>
    </row>
    <row r="40" spans="1:8" ht="15.6">
      <c r="A40" s="23" t="s">
        <v>61</v>
      </c>
      <c r="B40" s="22"/>
    </row>
    <row r="41" spans="1:8">
      <c r="A41" s="1" t="s">
        <v>35</v>
      </c>
      <c r="B41" s="1" t="s">
        <v>36</v>
      </c>
      <c r="C41" s="29" t="s">
        <v>170</v>
      </c>
      <c r="D41" s="29"/>
      <c r="E41" s="31" t="s">
        <v>171</v>
      </c>
      <c r="F41" s="31"/>
      <c r="G41" s="33" t="s">
        <v>172</v>
      </c>
      <c r="H41" s="34"/>
    </row>
    <row r="42" spans="1:8">
      <c r="A42" s="2" t="s">
        <v>37</v>
      </c>
      <c r="B42" s="2">
        <v>1200</v>
      </c>
      <c r="C42" s="26" t="str" cm="1">
        <f t="array" ref="C42:D44">_xlfn.SORTBY(A42:B44,B42:B44)</f>
        <v>Book</v>
      </c>
      <c r="D42" s="26">
        <v>850</v>
      </c>
      <c r="E42" s="32" t="str" cm="1">
        <f t="array" ref="E42:F44">_xlfn.SORTBY(A42:B44,B42:B44,-1)</f>
        <v>Bag</v>
      </c>
      <c r="F42" s="32">
        <v>2100</v>
      </c>
      <c r="G42" s="35" t="str" cm="1">
        <f t="array" ref="G42:H44">_xlfn.SORTBY(A42:B44,A42:A44)</f>
        <v>Bag</v>
      </c>
      <c r="H42" s="35">
        <v>2100</v>
      </c>
    </row>
    <row r="43" spans="1:8">
      <c r="A43" s="2" t="s">
        <v>38</v>
      </c>
      <c r="B43" s="2">
        <v>850</v>
      </c>
      <c r="C43" s="26" t="str">
        <v>Pen</v>
      </c>
      <c r="D43" s="26">
        <v>1200</v>
      </c>
      <c r="E43" s="32" t="str">
        <v>Pen</v>
      </c>
      <c r="F43" s="32">
        <v>1200</v>
      </c>
      <c r="G43" s="35" t="str">
        <v>Book</v>
      </c>
      <c r="H43" s="35">
        <v>850</v>
      </c>
    </row>
    <row r="44" spans="1:8">
      <c r="A44" s="2" t="s">
        <v>39</v>
      </c>
      <c r="B44" s="2">
        <v>2100</v>
      </c>
      <c r="C44" s="26" t="str">
        <v>Bag</v>
      </c>
      <c r="D44" s="26">
        <v>2100</v>
      </c>
      <c r="E44" s="32" t="str">
        <v>Book</v>
      </c>
      <c r="F44" s="32">
        <v>850</v>
      </c>
      <c r="G44" s="35" t="str">
        <v>Pen</v>
      </c>
      <c r="H44" s="35">
        <v>1200</v>
      </c>
    </row>
    <row r="47" spans="1:8" ht="15.6">
      <c r="A47" s="23" t="s">
        <v>60</v>
      </c>
    </row>
    <row r="48" spans="1:8">
      <c r="A48" s="1" t="s">
        <v>10</v>
      </c>
      <c r="B48" s="37" t="s">
        <v>170</v>
      </c>
    </row>
    <row r="49" spans="1:7">
      <c r="A49" s="2">
        <v>65</v>
      </c>
      <c r="B49" s="38" cm="1">
        <f t="array" ref="B49:B52">_xlfn._xlws.SORT(A49:A52,1,-1)</f>
        <v>89</v>
      </c>
    </row>
    <row r="50" spans="1:7">
      <c r="A50" s="2">
        <v>89</v>
      </c>
      <c r="B50" s="38">
        <v>72</v>
      </c>
    </row>
    <row r="51" spans="1:7">
      <c r="A51" s="2">
        <v>72</v>
      </c>
      <c r="B51" s="38">
        <v>65</v>
      </c>
    </row>
    <row r="52" spans="1:7">
      <c r="A52" s="2">
        <v>54</v>
      </c>
      <c r="B52" s="38">
        <v>54</v>
      </c>
    </row>
    <row r="53" spans="1:7">
      <c r="A53" s="36"/>
    </row>
    <row r="55" spans="1:7" ht="15.6">
      <c r="A55" s="23" t="s">
        <v>59</v>
      </c>
      <c r="B55" s="22"/>
      <c r="C55" s="22"/>
    </row>
    <row r="56" spans="1:7">
      <c r="A56" s="1" t="s">
        <v>51</v>
      </c>
      <c r="B56" s="1" t="s">
        <v>52</v>
      </c>
      <c r="C56" s="1" t="s">
        <v>53</v>
      </c>
      <c r="D56" s="1" t="s">
        <v>54</v>
      </c>
      <c r="E56" s="1" t="s">
        <v>55</v>
      </c>
      <c r="F56" s="1" t="s">
        <v>56</v>
      </c>
    </row>
    <row r="57" spans="1:7">
      <c r="A57" s="6" t="s">
        <v>57</v>
      </c>
      <c r="B57" s="6">
        <v>15</v>
      </c>
      <c r="C57" s="6">
        <v>45</v>
      </c>
      <c r="D57" s="6">
        <v>10</v>
      </c>
      <c r="E57" s="6">
        <v>60</v>
      </c>
      <c r="F57" s="6">
        <v>25</v>
      </c>
    </row>
    <row r="58" spans="1:7">
      <c r="A58" s="6" t="s">
        <v>58</v>
      </c>
      <c r="B58" s="6">
        <v>30</v>
      </c>
      <c r="C58" s="6">
        <v>55</v>
      </c>
      <c r="D58" s="6">
        <v>20</v>
      </c>
      <c r="E58" s="6">
        <v>40</v>
      </c>
      <c r="F58" s="6">
        <v>35</v>
      </c>
    </row>
    <row r="59" spans="1:7">
      <c r="A59" s="6"/>
      <c r="B59" s="6"/>
      <c r="C59" s="6"/>
      <c r="D59" s="6"/>
      <c r="E59" s="6"/>
      <c r="F59" s="6"/>
    </row>
    <row r="60" spans="1:7">
      <c r="A60" s="40" t="str" cm="1">
        <f t="array" ref="A60:F61">_xlfn._xlws.SORT(A57:F58,1,-1,TRUE)</f>
        <v>Quantity</v>
      </c>
      <c r="B60" s="40">
        <v>60</v>
      </c>
      <c r="C60" s="40">
        <v>45</v>
      </c>
      <c r="D60" s="40">
        <v>25</v>
      </c>
      <c r="E60" s="40">
        <v>15</v>
      </c>
      <c r="F60" s="40">
        <v>10</v>
      </c>
      <c r="G60" s="37" t="s">
        <v>170</v>
      </c>
    </row>
    <row r="61" spans="1:7">
      <c r="A61" s="41" t="str">
        <v>Price</v>
      </c>
      <c r="B61" s="41">
        <v>40</v>
      </c>
      <c r="C61" s="41">
        <v>55</v>
      </c>
      <c r="D61" s="41">
        <v>35</v>
      </c>
      <c r="E61" s="41">
        <v>30</v>
      </c>
      <c r="F61" s="41">
        <v>20</v>
      </c>
      <c r="G61" s="37" t="s">
        <v>171</v>
      </c>
    </row>
    <row r="62" spans="1:7" s="39" customFormat="1"/>
    <row r="63" spans="1:7" s="39" customFormat="1"/>
    <row r="64" spans="1:7" s="39" customFormat="1"/>
    <row r="65" spans="1:6" s="39" customFormat="1"/>
    <row r="67" spans="1:6" ht="15.6">
      <c r="A67" s="21" t="s">
        <v>116</v>
      </c>
      <c r="B67" s="22"/>
      <c r="C67" s="22"/>
    </row>
    <row r="68" spans="1:6">
      <c r="A68" s="1" t="s">
        <v>62</v>
      </c>
      <c r="B68" s="1" t="s">
        <v>63</v>
      </c>
      <c r="C68" s="1" t="s">
        <v>64</v>
      </c>
      <c r="D68" s="1" t="s">
        <v>65</v>
      </c>
      <c r="E68" s="1" t="s">
        <v>66</v>
      </c>
      <c r="F68" s="1" t="s">
        <v>67</v>
      </c>
    </row>
    <row r="69" spans="1:6">
      <c r="A69" s="7" t="s">
        <v>96</v>
      </c>
      <c r="B69" s="7" t="s">
        <v>97</v>
      </c>
      <c r="C69" s="7" t="s">
        <v>78</v>
      </c>
      <c r="D69" s="7" t="s">
        <v>84</v>
      </c>
      <c r="E69" s="7">
        <v>80000</v>
      </c>
      <c r="F69" s="8">
        <v>42108</v>
      </c>
    </row>
    <row r="70" spans="1:6">
      <c r="A70" s="7" t="s">
        <v>104</v>
      </c>
      <c r="B70" s="7" t="s">
        <v>105</v>
      </c>
      <c r="C70" s="7" t="s">
        <v>78</v>
      </c>
      <c r="D70" s="7" t="s">
        <v>79</v>
      </c>
      <c r="E70" s="7">
        <v>57000</v>
      </c>
      <c r="F70" s="8">
        <v>44061</v>
      </c>
    </row>
    <row r="71" spans="1:6">
      <c r="A71" s="7" t="s">
        <v>76</v>
      </c>
      <c r="B71" s="7" t="s">
        <v>77</v>
      </c>
      <c r="C71" s="7" t="s">
        <v>78</v>
      </c>
      <c r="D71" s="7" t="s">
        <v>79</v>
      </c>
      <c r="E71" s="7">
        <v>55000</v>
      </c>
      <c r="F71" s="8">
        <v>44216</v>
      </c>
    </row>
    <row r="72" spans="1:6">
      <c r="A72" s="7" t="s">
        <v>114</v>
      </c>
      <c r="B72" s="7" t="s">
        <v>115</v>
      </c>
      <c r="C72" s="7" t="s">
        <v>78</v>
      </c>
      <c r="D72" s="7" t="s">
        <v>71</v>
      </c>
      <c r="E72" s="7">
        <v>42000</v>
      </c>
      <c r="F72" s="8">
        <v>44170</v>
      </c>
    </row>
    <row r="73" spans="1:6">
      <c r="A73" s="7" t="s">
        <v>85</v>
      </c>
      <c r="B73" s="7" t="s">
        <v>86</v>
      </c>
      <c r="C73" s="7" t="s">
        <v>78</v>
      </c>
      <c r="D73" s="7" t="s">
        <v>71</v>
      </c>
      <c r="E73" s="7">
        <v>40000</v>
      </c>
      <c r="F73" s="8">
        <v>44593</v>
      </c>
    </row>
    <row r="74" spans="1:6">
      <c r="A74" s="7" t="s">
        <v>112</v>
      </c>
      <c r="B74" s="7" t="s">
        <v>113</v>
      </c>
      <c r="C74" s="7" t="s">
        <v>70</v>
      </c>
      <c r="D74" s="7" t="s">
        <v>84</v>
      </c>
      <c r="E74" s="7">
        <v>76000</v>
      </c>
      <c r="F74" s="8">
        <v>42550</v>
      </c>
    </row>
    <row r="75" spans="1:6">
      <c r="A75" s="7" t="s">
        <v>82</v>
      </c>
      <c r="B75" s="7" t="s">
        <v>83</v>
      </c>
      <c r="C75" s="7" t="s">
        <v>70</v>
      </c>
      <c r="D75" s="7" t="s">
        <v>84</v>
      </c>
      <c r="E75" s="7">
        <v>75000</v>
      </c>
      <c r="F75" s="8">
        <v>42865</v>
      </c>
    </row>
    <row r="76" spans="1:6">
      <c r="A76" s="7" t="s">
        <v>106</v>
      </c>
      <c r="B76" s="7" t="s">
        <v>107</v>
      </c>
      <c r="C76" s="7" t="s">
        <v>70</v>
      </c>
      <c r="D76" s="7" t="s">
        <v>71</v>
      </c>
      <c r="E76" s="7">
        <v>47000</v>
      </c>
      <c r="F76" s="8">
        <v>43521</v>
      </c>
    </row>
    <row r="77" spans="1:6">
      <c r="A77" s="7" t="s">
        <v>98</v>
      </c>
      <c r="B77" s="7" t="s">
        <v>99</v>
      </c>
      <c r="C77" s="7" t="s">
        <v>70</v>
      </c>
      <c r="D77" s="7" t="s">
        <v>71</v>
      </c>
      <c r="E77" s="7">
        <v>46000</v>
      </c>
      <c r="F77" s="8">
        <v>44448</v>
      </c>
    </row>
    <row r="78" spans="1:6">
      <c r="A78" s="7" t="s">
        <v>68</v>
      </c>
      <c r="B78" s="7" t="s">
        <v>69</v>
      </c>
      <c r="C78" s="7" t="s">
        <v>70</v>
      </c>
      <c r="D78" s="7" t="s">
        <v>71</v>
      </c>
      <c r="E78" s="7">
        <v>45000</v>
      </c>
      <c r="F78" s="8">
        <v>43905</v>
      </c>
    </row>
    <row r="79" spans="1:6">
      <c r="A79" s="7" t="s">
        <v>92</v>
      </c>
      <c r="B79" s="7" t="s">
        <v>93</v>
      </c>
      <c r="C79" s="7" t="s">
        <v>74</v>
      </c>
      <c r="D79" s="7" t="s">
        <v>84</v>
      </c>
      <c r="E79" s="7">
        <v>85000</v>
      </c>
      <c r="F79" s="8">
        <v>42601</v>
      </c>
    </row>
    <row r="80" spans="1:6">
      <c r="A80" s="7" t="s">
        <v>80</v>
      </c>
      <c r="B80" s="7" t="s">
        <v>81</v>
      </c>
      <c r="C80" s="7" t="s">
        <v>74</v>
      </c>
      <c r="D80" s="7" t="s">
        <v>75</v>
      </c>
      <c r="E80" s="7">
        <v>62000</v>
      </c>
      <c r="F80" s="8">
        <v>43368</v>
      </c>
    </row>
    <row r="81" spans="1:6">
      <c r="A81" s="7" t="s">
        <v>108</v>
      </c>
      <c r="B81" s="7" t="s">
        <v>109</v>
      </c>
      <c r="C81" s="7" t="s">
        <v>74</v>
      </c>
      <c r="D81" s="7" t="s">
        <v>75</v>
      </c>
      <c r="E81" s="7">
        <v>61000</v>
      </c>
      <c r="F81" s="8">
        <v>44392</v>
      </c>
    </row>
    <row r="82" spans="1:6">
      <c r="A82" s="7" t="s">
        <v>72</v>
      </c>
      <c r="B82" s="7" t="s">
        <v>73</v>
      </c>
      <c r="C82" s="7" t="s">
        <v>74</v>
      </c>
      <c r="D82" s="7" t="s">
        <v>75</v>
      </c>
      <c r="E82" s="7">
        <v>60000</v>
      </c>
      <c r="F82" s="8">
        <v>43658</v>
      </c>
    </row>
    <row r="83" spans="1:6">
      <c r="A83" s="7" t="s">
        <v>100</v>
      </c>
      <c r="B83" s="7" t="s">
        <v>101</v>
      </c>
      <c r="C83" s="7" t="s">
        <v>74</v>
      </c>
      <c r="D83" s="7" t="s">
        <v>89</v>
      </c>
      <c r="E83" s="7">
        <v>52000</v>
      </c>
      <c r="F83" s="8">
        <v>44723</v>
      </c>
    </row>
    <row r="84" spans="1:6">
      <c r="A84" s="7" t="s">
        <v>87</v>
      </c>
      <c r="B84" s="7" t="s">
        <v>88</v>
      </c>
      <c r="C84" s="7" t="s">
        <v>74</v>
      </c>
      <c r="D84" s="7" t="s">
        <v>89</v>
      </c>
      <c r="E84" s="7">
        <v>50000</v>
      </c>
      <c r="F84" s="8">
        <v>44152</v>
      </c>
    </row>
    <row r="85" spans="1:6">
      <c r="A85" s="7" t="s">
        <v>94</v>
      </c>
      <c r="B85" s="7" t="s">
        <v>95</v>
      </c>
      <c r="C85" s="7" t="s">
        <v>36</v>
      </c>
      <c r="D85" s="7" t="s">
        <v>84</v>
      </c>
      <c r="E85" s="7">
        <v>78000</v>
      </c>
      <c r="F85" s="8">
        <v>43464</v>
      </c>
    </row>
    <row r="86" spans="1:6">
      <c r="A86" s="7" t="s">
        <v>110</v>
      </c>
      <c r="B86" s="7" t="s">
        <v>111</v>
      </c>
      <c r="C86" s="7" t="s">
        <v>36</v>
      </c>
      <c r="D86" s="7" t="s">
        <v>71</v>
      </c>
      <c r="E86" s="7">
        <v>43000</v>
      </c>
      <c r="F86" s="8">
        <v>43386</v>
      </c>
    </row>
    <row r="87" spans="1:6">
      <c r="A87" s="7" t="s">
        <v>90</v>
      </c>
      <c r="B87" s="7" t="s">
        <v>91</v>
      </c>
      <c r="C87" s="7" t="s">
        <v>36</v>
      </c>
      <c r="D87" s="7" t="s">
        <v>71</v>
      </c>
      <c r="E87" s="7">
        <v>42000</v>
      </c>
      <c r="F87" s="8">
        <v>44308</v>
      </c>
    </row>
    <row r="88" spans="1:6">
      <c r="A88" s="7" t="s">
        <v>102</v>
      </c>
      <c r="B88" s="7" t="s">
        <v>103</v>
      </c>
      <c r="C88" s="7" t="s">
        <v>36</v>
      </c>
      <c r="D88" s="7" t="s">
        <v>71</v>
      </c>
      <c r="E88" s="7">
        <v>41000</v>
      </c>
      <c r="F88" s="8">
        <v>43531</v>
      </c>
    </row>
    <row r="91" spans="1:6">
      <c r="A91" s="42" t="s">
        <v>173</v>
      </c>
    </row>
    <row r="92" spans="1:6">
      <c r="A92" s="43" t="s">
        <v>62</v>
      </c>
      <c r="B92" s="43" t="s">
        <v>63</v>
      </c>
      <c r="C92" s="43" t="s">
        <v>64</v>
      </c>
      <c r="D92" s="43" t="s">
        <v>65</v>
      </c>
      <c r="E92" s="43" t="s">
        <v>66</v>
      </c>
      <c r="F92" s="43" t="s">
        <v>67</v>
      </c>
    </row>
    <row r="93" spans="1:6">
      <c r="A93" s="44" t="s">
        <v>68</v>
      </c>
      <c r="B93" s="44" t="s">
        <v>69</v>
      </c>
      <c r="C93" s="44" t="s">
        <v>70</v>
      </c>
      <c r="D93" s="44" t="s">
        <v>71</v>
      </c>
      <c r="E93" s="44">
        <v>45000</v>
      </c>
      <c r="F93" s="45">
        <v>43905</v>
      </c>
    </row>
    <row r="94" spans="1:6">
      <c r="A94" s="44" t="s">
        <v>72</v>
      </c>
      <c r="B94" s="44" t="s">
        <v>73</v>
      </c>
      <c r="C94" s="44" t="s">
        <v>74</v>
      </c>
      <c r="D94" s="44" t="s">
        <v>75</v>
      </c>
      <c r="E94" s="44">
        <v>60000</v>
      </c>
      <c r="F94" s="45">
        <v>43658</v>
      </c>
    </row>
    <row r="95" spans="1:6">
      <c r="A95" s="44" t="s">
        <v>76</v>
      </c>
      <c r="B95" s="44" t="s">
        <v>77</v>
      </c>
      <c r="C95" s="44" t="s">
        <v>78</v>
      </c>
      <c r="D95" s="44" t="s">
        <v>79</v>
      </c>
      <c r="E95" s="44">
        <v>55000</v>
      </c>
      <c r="F95" s="45">
        <v>44216</v>
      </c>
    </row>
    <row r="96" spans="1:6">
      <c r="A96" s="44" t="s">
        <v>80</v>
      </c>
      <c r="B96" s="44" t="s">
        <v>81</v>
      </c>
      <c r="C96" s="44" t="s">
        <v>74</v>
      </c>
      <c r="D96" s="44" t="s">
        <v>75</v>
      </c>
      <c r="E96" s="44">
        <v>62000</v>
      </c>
      <c r="F96" s="45">
        <v>43368</v>
      </c>
    </row>
    <row r="97" spans="1:6">
      <c r="A97" s="44" t="s">
        <v>82</v>
      </c>
      <c r="B97" s="44" t="s">
        <v>83</v>
      </c>
      <c r="C97" s="44" t="s">
        <v>70</v>
      </c>
      <c r="D97" s="44" t="s">
        <v>84</v>
      </c>
      <c r="E97" s="44">
        <v>75000</v>
      </c>
      <c r="F97" s="45">
        <v>42865</v>
      </c>
    </row>
    <row r="98" spans="1:6">
      <c r="A98" s="44" t="s">
        <v>85</v>
      </c>
      <c r="B98" s="44" t="s">
        <v>86</v>
      </c>
      <c r="C98" s="44" t="s">
        <v>78</v>
      </c>
      <c r="D98" s="44" t="s">
        <v>71</v>
      </c>
      <c r="E98" s="44">
        <v>40000</v>
      </c>
      <c r="F98" s="45">
        <v>44593</v>
      </c>
    </row>
    <row r="99" spans="1:6">
      <c r="A99" s="44" t="s">
        <v>87</v>
      </c>
      <c r="B99" s="44" t="s">
        <v>88</v>
      </c>
      <c r="C99" s="44" t="s">
        <v>74</v>
      </c>
      <c r="D99" s="44" t="s">
        <v>89</v>
      </c>
      <c r="E99" s="44">
        <v>50000</v>
      </c>
      <c r="F99" s="45">
        <v>44152</v>
      </c>
    </row>
    <row r="100" spans="1:6">
      <c r="A100" s="44" t="s">
        <v>90</v>
      </c>
      <c r="B100" s="44" t="s">
        <v>91</v>
      </c>
      <c r="C100" s="44" t="s">
        <v>36</v>
      </c>
      <c r="D100" s="44" t="s">
        <v>71</v>
      </c>
      <c r="E100" s="44">
        <v>42000</v>
      </c>
      <c r="F100" s="45">
        <v>44308</v>
      </c>
    </row>
    <row r="101" spans="1:6">
      <c r="A101" s="44" t="s">
        <v>92</v>
      </c>
      <c r="B101" s="44" t="s">
        <v>93</v>
      </c>
      <c r="C101" s="44" t="s">
        <v>74</v>
      </c>
      <c r="D101" s="44" t="s">
        <v>84</v>
      </c>
      <c r="E101" s="44">
        <v>85000</v>
      </c>
      <c r="F101" s="45">
        <v>42601</v>
      </c>
    </row>
    <row r="102" spans="1:6">
      <c r="A102" s="44" t="s">
        <v>94</v>
      </c>
      <c r="B102" s="44" t="s">
        <v>95</v>
      </c>
      <c r="C102" s="44" t="s">
        <v>36</v>
      </c>
      <c r="D102" s="44" t="s">
        <v>84</v>
      </c>
      <c r="E102" s="44">
        <v>78000</v>
      </c>
      <c r="F102" s="45">
        <v>43464</v>
      </c>
    </row>
    <row r="103" spans="1:6">
      <c r="A103" s="44" t="s">
        <v>96</v>
      </c>
      <c r="B103" s="44" t="s">
        <v>97</v>
      </c>
      <c r="C103" s="44" t="s">
        <v>78</v>
      </c>
      <c r="D103" s="44" t="s">
        <v>84</v>
      </c>
      <c r="E103" s="44">
        <v>80000</v>
      </c>
      <c r="F103" s="45">
        <v>42108</v>
      </c>
    </row>
    <row r="104" spans="1:6">
      <c r="A104" s="44" t="s">
        <v>98</v>
      </c>
      <c r="B104" s="44" t="s">
        <v>99</v>
      </c>
      <c r="C104" s="44" t="s">
        <v>70</v>
      </c>
      <c r="D104" s="44" t="s">
        <v>71</v>
      </c>
      <c r="E104" s="44">
        <v>46000</v>
      </c>
      <c r="F104" s="45">
        <v>44448</v>
      </c>
    </row>
    <row r="105" spans="1:6">
      <c r="A105" s="44" t="s">
        <v>100</v>
      </c>
      <c r="B105" s="44" t="s">
        <v>101</v>
      </c>
      <c r="C105" s="44" t="s">
        <v>74</v>
      </c>
      <c r="D105" s="44" t="s">
        <v>89</v>
      </c>
      <c r="E105" s="44">
        <v>52000</v>
      </c>
      <c r="F105" s="45">
        <v>44723</v>
      </c>
    </row>
    <row r="106" spans="1:6">
      <c r="A106" s="44" t="s">
        <v>102</v>
      </c>
      <c r="B106" s="44" t="s">
        <v>103</v>
      </c>
      <c r="C106" s="44" t="s">
        <v>36</v>
      </c>
      <c r="D106" s="44" t="s">
        <v>71</v>
      </c>
      <c r="E106" s="44">
        <v>41000</v>
      </c>
      <c r="F106" s="45">
        <v>43531</v>
      </c>
    </row>
    <row r="107" spans="1:6">
      <c r="A107" s="44" t="s">
        <v>104</v>
      </c>
      <c r="B107" s="44" t="s">
        <v>105</v>
      </c>
      <c r="C107" s="44" t="s">
        <v>78</v>
      </c>
      <c r="D107" s="44" t="s">
        <v>79</v>
      </c>
      <c r="E107" s="44">
        <v>57000</v>
      </c>
      <c r="F107" s="45">
        <v>44061</v>
      </c>
    </row>
    <row r="108" spans="1:6">
      <c r="A108" s="44" t="s">
        <v>106</v>
      </c>
      <c r="B108" s="44" t="s">
        <v>107</v>
      </c>
      <c r="C108" s="44" t="s">
        <v>70</v>
      </c>
      <c r="D108" s="44" t="s">
        <v>71</v>
      </c>
      <c r="E108" s="44">
        <v>47000</v>
      </c>
      <c r="F108" s="45">
        <v>43521</v>
      </c>
    </row>
    <row r="109" spans="1:6">
      <c r="A109" s="44" t="s">
        <v>108</v>
      </c>
      <c r="B109" s="44" t="s">
        <v>109</v>
      </c>
      <c r="C109" s="44" t="s">
        <v>74</v>
      </c>
      <c r="D109" s="44" t="s">
        <v>75</v>
      </c>
      <c r="E109" s="44">
        <v>61000</v>
      </c>
      <c r="F109" s="45">
        <v>44392</v>
      </c>
    </row>
    <row r="110" spans="1:6">
      <c r="A110" s="44" t="s">
        <v>110</v>
      </c>
      <c r="B110" s="44" t="s">
        <v>111</v>
      </c>
      <c r="C110" s="44" t="s">
        <v>36</v>
      </c>
      <c r="D110" s="44" t="s">
        <v>71</v>
      </c>
      <c r="E110" s="44">
        <v>43000</v>
      </c>
      <c r="F110" s="45">
        <v>43386</v>
      </c>
    </row>
    <row r="111" spans="1:6">
      <c r="A111" s="44" t="s">
        <v>112</v>
      </c>
      <c r="B111" s="44" t="s">
        <v>113</v>
      </c>
      <c r="C111" s="44" t="s">
        <v>70</v>
      </c>
      <c r="D111" s="44" t="s">
        <v>84</v>
      </c>
      <c r="E111" s="44">
        <v>76000</v>
      </c>
      <c r="F111" s="45">
        <v>42550</v>
      </c>
    </row>
    <row r="112" spans="1:6">
      <c r="A112" s="44" t="s">
        <v>114</v>
      </c>
      <c r="B112" s="44" t="s">
        <v>115</v>
      </c>
      <c r="C112" s="44" t="s">
        <v>78</v>
      </c>
      <c r="D112" s="44" t="s">
        <v>71</v>
      </c>
      <c r="E112" s="44">
        <v>42000</v>
      </c>
      <c r="F112" s="45">
        <v>44170</v>
      </c>
    </row>
  </sheetData>
  <sortState xmlns:xlrd2="http://schemas.microsoft.com/office/spreadsheetml/2017/richdata2" ref="A69:F88">
    <sortCondition ref="C69:C88" customList="Finance,HR,IT,Sales"/>
    <sortCondition ref="D69:D88" customList="Manager,Analyst,Developer,Tester,Executive"/>
    <sortCondition descending="1" ref="E69:E88"/>
  </sortState>
  <mergeCells count="12">
    <mergeCell ref="A1:B1"/>
    <mergeCell ref="C41:D41"/>
    <mergeCell ref="E41:F41"/>
    <mergeCell ref="G41:H41"/>
    <mergeCell ref="A67:C67"/>
    <mergeCell ref="A40:B40"/>
    <mergeCell ref="A9:C9"/>
    <mergeCell ref="A17:B17"/>
    <mergeCell ref="A25:B25"/>
    <mergeCell ref="A33:B33"/>
    <mergeCell ref="A47"/>
    <mergeCell ref="A55:C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topLeftCell="A41" workbookViewId="0">
      <selection activeCell="A25" sqref="A25"/>
    </sheetView>
  </sheetViews>
  <sheetFormatPr defaultColWidth="10" defaultRowHeight="14.4"/>
  <cols>
    <col min="1" max="1" width="79" customWidth="1"/>
  </cols>
  <sheetData>
    <row r="1" spans="1:1">
      <c r="A1" t="s">
        <v>125</v>
      </c>
    </row>
    <row r="2" spans="1:1" ht="28.8">
      <c r="A2" s="9" t="s">
        <v>42</v>
      </c>
    </row>
    <row r="4" spans="1:1">
      <c r="A4" t="s">
        <v>124</v>
      </c>
    </row>
    <row r="5" spans="1:1">
      <c r="A5" t="s">
        <v>43</v>
      </c>
    </row>
    <row r="7" spans="1:1">
      <c r="A7" t="s">
        <v>123</v>
      </c>
    </row>
    <row r="8" spans="1:1">
      <c r="A8" t="s">
        <v>44</v>
      </c>
    </row>
    <row r="10" spans="1:1">
      <c r="A10" t="s">
        <v>122</v>
      </c>
    </row>
    <row r="11" spans="1:1">
      <c r="A11" t="s">
        <v>48</v>
      </c>
    </row>
    <row r="13" spans="1:1">
      <c r="A13" t="s">
        <v>121</v>
      </c>
    </row>
    <row r="14" spans="1:1">
      <c r="A14" t="s">
        <v>49</v>
      </c>
    </row>
    <row r="16" spans="1:1" ht="57.6">
      <c r="A16" s="9" t="s">
        <v>120</v>
      </c>
    </row>
    <row r="18" spans="1:1" ht="43.2">
      <c r="A18" s="9" t="s">
        <v>119</v>
      </c>
    </row>
    <row r="20" spans="1:1" ht="28.8">
      <c r="A20" s="9" t="s">
        <v>118</v>
      </c>
    </row>
    <row r="21" spans="1:1">
      <c r="A21" t="s">
        <v>50</v>
      </c>
    </row>
    <row r="23" spans="1:1" ht="216">
      <c r="A23" s="9" t="s">
        <v>126</v>
      </c>
    </row>
    <row r="25" spans="1:1" ht="100.8">
      <c r="A25" s="9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P64"/>
  <sheetViews>
    <sheetView tabSelected="1" zoomScale="107" zoomScaleNormal="107" workbookViewId="0">
      <selection activeCell="I10" sqref="I10"/>
    </sheetView>
  </sheetViews>
  <sheetFormatPr defaultColWidth="10" defaultRowHeight="14.4"/>
  <cols>
    <col min="7" max="8" width="6.6640625" customWidth="1"/>
  </cols>
  <sheetData>
    <row r="1" spans="1:16">
      <c r="G1" s="28" t="s">
        <v>174</v>
      </c>
      <c r="H1" s="28"/>
      <c r="I1" s="28"/>
      <c r="K1" s="30" t="s">
        <v>175</v>
      </c>
      <c r="L1" s="30"/>
      <c r="M1" s="30"/>
      <c r="N1" s="30"/>
      <c r="O1" s="30"/>
      <c r="P1" s="30"/>
    </row>
    <row r="2" spans="1:16" ht="28.8">
      <c r="A2" s="10" t="s">
        <v>127</v>
      </c>
      <c r="B2" s="10" t="s">
        <v>128</v>
      </c>
      <c r="C2" s="10" t="s">
        <v>129</v>
      </c>
      <c r="D2" s="10" t="s">
        <v>130</v>
      </c>
      <c r="E2" s="10" t="s">
        <v>131</v>
      </c>
      <c r="G2" s="46">
        <v>1</v>
      </c>
      <c r="H2" s="46">
        <v>2</v>
      </c>
      <c r="I2" s="46">
        <v>3</v>
      </c>
      <c r="K2" s="47">
        <v>1</v>
      </c>
      <c r="L2" s="47"/>
      <c r="M2" s="47"/>
      <c r="N2" s="51">
        <v>2</v>
      </c>
      <c r="O2" s="51"/>
      <c r="P2" s="51"/>
    </row>
    <row r="3" spans="1:16" ht="28.8">
      <c r="A3" s="11" t="s">
        <v>132</v>
      </c>
      <c r="B3" s="11" t="s">
        <v>133</v>
      </c>
      <c r="C3" s="12">
        <v>88</v>
      </c>
      <c r="D3" s="13"/>
      <c r="E3" s="13"/>
      <c r="G3" s="12">
        <v>88</v>
      </c>
      <c r="H3" s="12">
        <v>88</v>
      </c>
      <c r="I3" s="37" t="s">
        <v>176</v>
      </c>
      <c r="K3" s="48" t="s">
        <v>127</v>
      </c>
      <c r="L3" s="48" t="s">
        <v>128</v>
      </c>
      <c r="M3" s="48" t="s">
        <v>129</v>
      </c>
      <c r="N3" s="52" t="s">
        <v>127</v>
      </c>
      <c r="O3" s="52" t="s">
        <v>128</v>
      </c>
      <c r="P3" s="52" t="s">
        <v>129</v>
      </c>
    </row>
    <row r="4" spans="1:16">
      <c r="A4" s="11" t="s">
        <v>134</v>
      </c>
      <c r="B4" s="11" t="s">
        <v>135</v>
      </c>
      <c r="C4" s="12">
        <v>45</v>
      </c>
      <c r="D4" s="13"/>
      <c r="E4" s="13"/>
      <c r="G4" s="12">
        <v>45</v>
      </c>
      <c r="H4" s="12">
        <v>45</v>
      </c>
      <c r="K4" s="49" t="s">
        <v>138</v>
      </c>
      <c r="L4" s="49" t="s">
        <v>139</v>
      </c>
      <c r="M4" s="50">
        <v>92</v>
      </c>
      <c r="N4" s="53" t="s">
        <v>138</v>
      </c>
      <c r="O4" s="53" t="s">
        <v>139</v>
      </c>
      <c r="P4" s="54">
        <v>92</v>
      </c>
    </row>
    <row r="5" spans="1:16">
      <c r="A5" s="11" t="s">
        <v>136</v>
      </c>
      <c r="B5" s="11" t="s">
        <v>137</v>
      </c>
      <c r="C5" s="12">
        <v>78</v>
      </c>
      <c r="D5" s="13"/>
      <c r="E5" s="13"/>
      <c r="G5" s="12">
        <v>78</v>
      </c>
      <c r="H5" s="12">
        <v>78</v>
      </c>
      <c r="K5" s="49" t="s">
        <v>132</v>
      </c>
      <c r="L5" s="49" t="s">
        <v>133</v>
      </c>
      <c r="M5" s="50">
        <v>88</v>
      </c>
      <c r="N5" s="53" t="s">
        <v>142</v>
      </c>
      <c r="O5" s="53" t="s">
        <v>139</v>
      </c>
      <c r="P5" s="54">
        <v>33</v>
      </c>
    </row>
    <row r="6" spans="1:16">
      <c r="A6" s="11" t="s">
        <v>138</v>
      </c>
      <c r="B6" s="11" t="s">
        <v>139</v>
      </c>
      <c r="C6" s="12">
        <v>92</v>
      </c>
      <c r="D6" s="13"/>
      <c r="E6" s="13"/>
      <c r="G6" s="12">
        <v>92</v>
      </c>
      <c r="H6" s="12">
        <v>92</v>
      </c>
      <c r="K6" s="49" t="s">
        <v>136</v>
      </c>
      <c r="L6" s="49" t="s">
        <v>133</v>
      </c>
      <c r="M6" s="50">
        <v>78</v>
      </c>
      <c r="N6" s="53" t="s">
        <v>132</v>
      </c>
      <c r="O6" s="53" t="s">
        <v>133</v>
      </c>
      <c r="P6" s="54">
        <v>88</v>
      </c>
    </row>
    <row r="7" spans="1:16">
      <c r="A7" s="11" t="s">
        <v>140</v>
      </c>
      <c r="B7" s="11" t="s">
        <v>141</v>
      </c>
      <c r="C7" s="12">
        <v>60</v>
      </c>
      <c r="D7" s="13"/>
      <c r="E7" s="13"/>
      <c r="G7" s="12">
        <v>60</v>
      </c>
      <c r="H7" s="12">
        <v>60</v>
      </c>
      <c r="K7" s="49" t="s">
        <v>140</v>
      </c>
      <c r="L7" s="49" t="s">
        <v>135</v>
      </c>
      <c r="M7" s="50">
        <v>60</v>
      </c>
      <c r="N7" s="53" t="s">
        <v>136</v>
      </c>
      <c r="O7" s="53" t="s">
        <v>133</v>
      </c>
      <c r="P7" s="54">
        <v>78</v>
      </c>
    </row>
    <row r="8" spans="1:16">
      <c r="A8" s="11" t="s">
        <v>142</v>
      </c>
      <c r="B8" s="11" t="s">
        <v>143</v>
      </c>
      <c r="C8" s="12">
        <v>33</v>
      </c>
      <c r="D8" s="13"/>
      <c r="E8" s="13"/>
      <c r="G8" s="12">
        <v>33</v>
      </c>
      <c r="H8" s="12">
        <v>33</v>
      </c>
      <c r="K8" s="49" t="s">
        <v>134</v>
      </c>
      <c r="L8" s="49" t="s">
        <v>135</v>
      </c>
      <c r="M8" s="50">
        <v>45</v>
      </c>
      <c r="N8" s="53" t="s">
        <v>134</v>
      </c>
      <c r="O8" s="53" t="s">
        <v>135</v>
      </c>
      <c r="P8" s="54">
        <v>45</v>
      </c>
    </row>
    <row r="9" spans="1:16">
      <c r="A9" s="14"/>
      <c r="B9" s="14"/>
      <c r="C9" s="14"/>
      <c r="D9" s="14"/>
      <c r="E9" s="14"/>
      <c r="K9" s="49" t="s">
        <v>142</v>
      </c>
      <c r="L9" s="49" t="s">
        <v>139</v>
      </c>
      <c r="M9" s="50">
        <v>33</v>
      </c>
      <c r="N9" s="53" t="s">
        <v>140</v>
      </c>
      <c r="O9" s="53" t="s">
        <v>135</v>
      </c>
      <c r="P9" s="54">
        <v>60</v>
      </c>
    </row>
    <row r="10" spans="1:16">
      <c r="A10" s="15" t="s">
        <v>144</v>
      </c>
      <c r="B10" s="14"/>
      <c r="C10" s="14"/>
      <c r="D10" s="14"/>
      <c r="E10" s="14"/>
    </row>
    <row r="11" spans="1:16">
      <c r="A11" s="14"/>
      <c r="B11" s="14"/>
      <c r="C11" s="14"/>
      <c r="D11" s="14"/>
      <c r="E11" s="14"/>
    </row>
    <row r="12" spans="1:16">
      <c r="A12" s="16" t="s">
        <v>145</v>
      </c>
      <c r="B12" s="14"/>
      <c r="C12" s="14"/>
      <c r="D12" s="14"/>
      <c r="E12" s="14"/>
    </row>
    <row r="13" spans="1:16">
      <c r="A13" s="17"/>
      <c r="B13" s="14"/>
      <c r="C13" s="14"/>
      <c r="D13" s="14"/>
      <c r="E13" s="14"/>
    </row>
    <row r="14" spans="1:16">
      <c r="A14" s="18" t="s">
        <v>146</v>
      </c>
      <c r="B14" s="14"/>
      <c r="C14" s="14"/>
      <c r="D14" s="14"/>
      <c r="E14" s="14"/>
    </row>
    <row r="15" spans="1:16">
      <c r="A15" s="17"/>
      <c r="B15" s="14"/>
      <c r="C15" s="14"/>
      <c r="D15" s="14"/>
      <c r="E15" s="14"/>
    </row>
    <row r="16" spans="1:16">
      <c r="A16" s="18" t="s">
        <v>147</v>
      </c>
      <c r="B16" s="14"/>
      <c r="C16" s="14"/>
      <c r="D16" s="14"/>
      <c r="E16" s="14"/>
    </row>
    <row r="17" spans="1:11">
      <c r="A17" s="17"/>
      <c r="B17" s="14"/>
      <c r="C17" s="14"/>
      <c r="D17" s="14"/>
      <c r="E17" s="14"/>
    </row>
    <row r="18" spans="1:11">
      <c r="A18" s="18" t="s">
        <v>148</v>
      </c>
      <c r="B18" s="14"/>
      <c r="C18" s="14"/>
      <c r="D18" s="14"/>
      <c r="E18" s="14"/>
    </row>
    <row r="19" spans="1:11">
      <c r="A19" s="14"/>
      <c r="B19" s="14"/>
      <c r="C19" s="14"/>
      <c r="D19" s="14"/>
      <c r="E19" s="14"/>
    </row>
    <row r="20" spans="1:11">
      <c r="A20" s="14"/>
      <c r="B20" s="14"/>
      <c r="C20" s="14"/>
      <c r="D20" s="14"/>
      <c r="E20" s="14"/>
    </row>
    <row r="21" spans="1:11">
      <c r="A21" s="14"/>
      <c r="B21" s="14"/>
      <c r="C21" s="14"/>
      <c r="D21" s="14"/>
      <c r="E21" s="14"/>
    </row>
    <row r="22" spans="1:11">
      <c r="A22" s="15" t="s">
        <v>149</v>
      </c>
      <c r="B22" s="14"/>
      <c r="C22" s="14"/>
      <c r="D22" s="14"/>
      <c r="E22" s="14"/>
      <c r="I22" s="37"/>
    </row>
    <row r="23" spans="1:11">
      <c r="A23" s="14"/>
      <c r="B23" s="14"/>
      <c r="C23" s="14"/>
      <c r="D23" s="14"/>
      <c r="E23" s="14"/>
      <c r="I23" s="37" t="s">
        <v>177</v>
      </c>
    </row>
    <row r="24" spans="1:11" ht="28.8">
      <c r="A24" s="16" t="s">
        <v>150</v>
      </c>
      <c r="B24" s="14"/>
      <c r="C24" s="14"/>
      <c r="D24" s="14"/>
      <c r="E24" s="14"/>
      <c r="I24" s="10" t="s">
        <v>127</v>
      </c>
      <c r="J24" s="10" t="s">
        <v>128</v>
      </c>
      <c r="K24" s="10" t="s">
        <v>129</v>
      </c>
    </row>
    <row r="25" spans="1:11">
      <c r="A25" s="17"/>
      <c r="B25" s="14"/>
      <c r="C25" s="14"/>
      <c r="D25" s="14"/>
      <c r="E25" s="14"/>
      <c r="I25" s="11" t="s">
        <v>132</v>
      </c>
      <c r="J25" s="11" t="s">
        <v>133</v>
      </c>
      <c r="K25" s="12">
        <v>88</v>
      </c>
    </row>
    <row r="26" spans="1:11" hidden="1">
      <c r="A26" s="18" t="s">
        <v>151</v>
      </c>
      <c r="B26" s="14"/>
      <c r="C26" s="14"/>
      <c r="D26" s="14"/>
      <c r="E26" s="14"/>
      <c r="I26" s="11" t="s">
        <v>134</v>
      </c>
      <c r="J26" s="11" t="s">
        <v>135</v>
      </c>
      <c r="K26" s="12">
        <v>45</v>
      </c>
    </row>
    <row r="27" spans="1:11">
      <c r="A27" s="17"/>
      <c r="B27" s="14"/>
      <c r="C27" s="14"/>
      <c r="D27" s="14"/>
      <c r="E27" s="14"/>
      <c r="I27" s="11" t="s">
        <v>136</v>
      </c>
      <c r="J27" s="11" t="s">
        <v>133</v>
      </c>
      <c r="K27" s="12">
        <v>78</v>
      </c>
    </row>
    <row r="28" spans="1:11">
      <c r="A28" s="18" t="s">
        <v>152</v>
      </c>
      <c r="B28" s="14"/>
      <c r="C28" s="14"/>
      <c r="D28" s="14"/>
      <c r="E28" s="14"/>
      <c r="I28" s="11" t="s">
        <v>138</v>
      </c>
      <c r="J28" s="11" t="s">
        <v>139</v>
      </c>
      <c r="K28" s="12">
        <v>92</v>
      </c>
    </row>
    <row r="29" spans="1:11" hidden="1">
      <c r="A29" s="14"/>
      <c r="B29" s="14"/>
      <c r="C29" s="14"/>
      <c r="D29" s="14"/>
      <c r="E29" s="14"/>
      <c r="I29" s="11" t="s">
        <v>140</v>
      </c>
      <c r="J29" s="11" t="s">
        <v>135</v>
      </c>
      <c r="K29" s="12">
        <v>60</v>
      </c>
    </row>
    <row r="30" spans="1:11" hidden="1">
      <c r="A30" s="14"/>
      <c r="B30" s="14"/>
      <c r="C30" s="14"/>
      <c r="D30" s="14"/>
      <c r="E30" s="14"/>
      <c r="I30" s="11" t="s">
        <v>142</v>
      </c>
      <c r="J30" s="11" t="s">
        <v>139</v>
      </c>
      <c r="K30" s="12">
        <v>33</v>
      </c>
    </row>
    <row r="31" spans="1:11">
      <c r="A31" s="14"/>
      <c r="B31" s="14"/>
      <c r="C31" s="14"/>
      <c r="D31" s="14"/>
      <c r="E31" s="14"/>
    </row>
    <row r="32" spans="1:11">
      <c r="A32" s="15" t="s">
        <v>153</v>
      </c>
      <c r="B32" s="14"/>
      <c r="C32" s="14"/>
      <c r="D32" s="14"/>
      <c r="E32" s="14"/>
    </row>
    <row r="33" spans="1:11">
      <c r="A33" s="14"/>
      <c r="B33" s="14"/>
      <c r="C33" s="14"/>
      <c r="D33" s="14"/>
      <c r="E33" s="14"/>
      <c r="I33" s="55"/>
    </row>
    <row r="34" spans="1:11" ht="28.8">
      <c r="A34" s="16" t="s">
        <v>154</v>
      </c>
      <c r="B34" s="14"/>
      <c r="C34" s="14"/>
      <c r="D34" s="14"/>
      <c r="E34" s="14"/>
      <c r="I34" s="10" t="s">
        <v>127</v>
      </c>
      <c r="J34" s="10" t="s">
        <v>128</v>
      </c>
      <c r="K34" s="10" t="s">
        <v>129</v>
      </c>
    </row>
    <row r="35" spans="1:11">
      <c r="A35" s="17"/>
      <c r="B35" s="14"/>
      <c r="C35" s="14"/>
      <c r="D35" s="14"/>
      <c r="E35" s="14"/>
      <c r="I35" s="11" t="s">
        <v>132</v>
      </c>
      <c r="J35" s="11" t="s">
        <v>133</v>
      </c>
      <c r="K35" s="12">
        <v>88</v>
      </c>
    </row>
    <row r="36" spans="1:11">
      <c r="A36" s="18" t="s">
        <v>155</v>
      </c>
      <c r="B36" s="14"/>
      <c r="C36" s="14"/>
      <c r="D36" s="14"/>
      <c r="E36" s="14"/>
      <c r="I36" s="11" t="s">
        <v>134</v>
      </c>
      <c r="J36" s="11" t="s">
        <v>135</v>
      </c>
      <c r="K36" s="12">
        <v>45</v>
      </c>
    </row>
    <row r="37" spans="1:11">
      <c r="A37" s="17"/>
      <c r="B37" s="14"/>
      <c r="C37" s="14"/>
      <c r="D37" s="14"/>
      <c r="E37" s="14"/>
      <c r="I37" s="11" t="s">
        <v>136</v>
      </c>
      <c r="J37" s="11" t="s">
        <v>133</v>
      </c>
      <c r="K37" s="12">
        <v>78</v>
      </c>
    </row>
    <row r="38" spans="1:11">
      <c r="A38" s="18" t="s">
        <v>156</v>
      </c>
      <c r="B38" s="14"/>
      <c r="C38" s="14"/>
      <c r="D38" s="14"/>
      <c r="E38" s="14"/>
      <c r="I38" s="11" t="s">
        <v>138</v>
      </c>
      <c r="J38" s="11" t="s">
        <v>139</v>
      </c>
      <c r="K38" s="12">
        <v>92</v>
      </c>
    </row>
    <row r="39" spans="1:11">
      <c r="A39" s="14"/>
      <c r="B39" s="14"/>
      <c r="C39" s="14"/>
      <c r="D39" s="14"/>
      <c r="E39" s="14"/>
      <c r="I39" s="11" t="s">
        <v>140</v>
      </c>
      <c r="J39" s="11" t="s">
        <v>135</v>
      </c>
      <c r="K39" s="12">
        <v>60</v>
      </c>
    </row>
    <row r="40" spans="1:11">
      <c r="A40" s="14"/>
      <c r="B40" s="14"/>
      <c r="C40" s="14"/>
      <c r="D40" s="14"/>
      <c r="E40" s="14"/>
      <c r="I40" s="11" t="s">
        <v>142</v>
      </c>
      <c r="J40" s="11" t="s">
        <v>139</v>
      </c>
      <c r="K40" s="12">
        <v>33</v>
      </c>
    </row>
    <row r="41" spans="1:11">
      <c r="A41" s="14"/>
      <c r="B41" s="14"/>
      <c r="C41" s="14"/>
      <c r="D41" s="14"/>
      <c r="E41" s="14"/>
    </row>
    <row r="42" spans="1:11">
      <c r="A42" s="15" t="s">
        <v>157</v>
      </c>
      <c r="B42" s="14"/>
      <c r="C42" s="14"/>
      <c r="D42" s="14"/>
      <c r="E42" s="14"/>
    </row>
    <row r="43" spans="1:11">
      <c r="A43" s="14"/>
      <c r="B43" s="14"/>
      <c r="C43" s="14"/>
      <c r="D43" s="14"/>
      <c r="E43" s="14"/>
    </row>
    <row r="44" spans="1:11">
      <c r="A44" s="16" t="s">
        <v>158</v>
      </c>
      <c r="B44" s="14"/>
      <c r="C44" s="14"/>
      <c r="D44" s="14"/>
      <c r="E44" s="14"/>
    </row>
    <row r="45" spans="1:11">
      <c r="A45" s="17"/>
      <c r="B45" s="14"/>
      <c r="C45" s="14"/>
      <c r="D45" s="14"/>
      <c r="E45" s="14"/>
    </row>
    <row r="46" spans="1:11">
      <c r="A46" s="18" t="s">
        <v>159</v>
      </c>
      <c r="B46" s="14"/>
      <c r="C46" s="14"/>
      <c r="D46" s="14"/>
      <c r="E46" s="14"/>
    </row>
    <row r="47" spans="1:11">
      <c r="A47" s="17"/>
      <c r="B47" s="14"/>
      <c r="C47" s="14"/>
      <c r="D47" s="14"/>
      <c r="E47" s="14"/>
    </row>
    <row r="48" spans="1:11">
      <c r="A48" s="18" t="s">
        <v>160</v>
      </c>
      <c r="B48" s="14"/>
      <c r="C48" s="14"/>
      <c r="D48" s="14"/>
      <c r="E48" s="14"/>
    </row>
    <row r="49" spans="1:5">
      <c r="A49" s="17"/>
      <c r="B49" s="14"/>
      <c r="C49" s="14"/>
      <c r="D49" s="14"/>
      <c r="E49" s="14"/>
    </row>
    <row r="50" spans="1:5">
      <c r="A50" s="18" t="s">
        <v>161</v>
      </c>
      <c r="B50" s="14"/>
      <c r="C50" s="14"/>
      <c r="D50" s="14"/>
      <c r="E50" s="14"/>
    </row>
    <row r="51" spans="1:5">
      <c r="A51" s="17"/>
      <c r="B51" s="14"/>
      <c r="C51" s="14"/>
      <c r="D51" s="14"/>
      <c r="E51" s="14"/>
    </row>
    <row r="52" spans="1:5">
      <c r="A52" s="18" t="s">
        <v>162</v>
      </c>
      <c r="B52" s="14"/>
      <c r="C52" s="14"/>
      <c r="D52" s="14"/>
      <c r="E52" s="14"/>
    </row>
    <row r="53" spans="1:5">
      <c r="A53" s="17"/>
      <c r="B53" s="14"/>
      <c r="C53" s="14"/>
      <c r="D53" s="14"/>
      <c r="E53" s="14"/>
    </row>
    <row r="54" spans="1:5">
      <c r="A54" s="17"/>
      <c r="B54" s="14"/>
      <c r="C54" s="14"/>
      <c r="D54" s="14"/>
      <c r="E54" s="14"/>
    </row>
    <row r="55" spans="1:5">
      <c r="A55" s="19"/>
      <c r="B55" s="14"/>
      <c r="C55" s="14"/>
      <c r="D55" s="14"/>
      <c r="E55" s="14"/>
    </row>
    <row r="56" spans="1:5">
      <c r="A56" s="20" t="s">
        <v>163</v>
      </c>
      <c r="B56" s="14"/>
      <c r="C56" s="14"/>
      <c r="D56" s="14"/>
      <c r="E56" s="14"/>
    </row>
    <row r="57" spans="1:5">
      <c r="A57" s="19"/>
      <c r="B57" s="14"/>
      <c r="C57" s="14"/>
      <c r="D57" s="14"/>
      <c r="E57" s="14"/>
    </row>
    <row r="58" spans="1:5">
      <c r="A58" s="20" t="s">
        <v>164</v>
      </c>
      <c r="B58" s="14"/>
      <c r="C58" s="14"/>
      <c r="D58" s="14"/>
      <c r="E58" s="14"/>
    </row>
    <row r="59" spans="1:5">
      <c r="A59" s="19"/>
      <c r="B59" s="14"/>
      <c r="C59" s="14"/>
      <c r="D59" s="14"/>
      <c r="E59" s="14"/>
    </row>
    <row r="60" spans="1:5">
      <c r="A60" s="20" t="s">
        <v>165</v>
      </c>
      <c r="B60" s="14"/>
      <c r="C60" s="14"/>
      <c r="D60" s="14"/>
      <c r="E60" s="14"/>
    </row>
    <row r="61" spans="1:5">
      <c r="A61" s="19"/>
      <c r="B61" s="14"/>
      <c r="C61" s="14"/>
      <c r="D61" s="14"/>
      <c r="E61" s="14"/>
    </row>
    <row r="62" spans="1:5">
      <c r="A62" s="20" t="s">
        <v>166</v>
      </c>
      <c r="B62" s="14"/>
      <c r="C62" s="14"/>
      <c r="D62" s="14"/>
      <c r="E62" s="14"/>
    </row>
    <row r="63" spans="1:5">
      <c r="A63" s="19"/>
      <c r="B63" s="14"/>
      <c r="C63" s="14"/>
      <c r="D63" s="14"/>
      <c r="E63" s="14"/>
    </row>
    <row r="64" spans="1:5">
      <c r="A64" s="20" t="s">
        <v>167</v>
      </c>
      <c r="B64" s="14"/>
      <c r="C64" s="14"/>
      <c r="D64" s="14"/>
      <c r="E64" s="14"/>
    </row>
  </sheetData>
  <autoFilter ref="I24:K30" xr:uid="{00000000-0001-0000-0200-000000000000}">
    <filterColumn colId="2">
      <filters>
        <filter val="78"/>
        <filter val="88"/>
        <filter val="92"/>
      </filters>
    </filterColumn>
  </autoFilter>
  <sortState xmlns:xlrd2="http://schemas.microsoft.com/office/spreadsheetml/2017/richdata2" ref="N4:P9">
    <sortCondition ref="O4:O9"/>
    <sortCondition ref="N4:N9"/>
  </sortState>
  <mergeCells count="4">
    <mergeCell ref="G1:I1"/>
    <mergeCell ref="K2:M2"/>
    <mergeCell ref="N2:P2"/>
    <mergeCell ref="K1:P1"/>
  </mergeCells>
  <conditionalFormatting sqref="G3:G8">
    <cfRule type="cellIs" dxfId="0" priority="2" operator="lessThan">
      <formula>50</formula>
    </cfRule>
  </conditionalFormatting>
  <conditionalFormatting sqref="H3:H8">
    <cfRule type="colorScale" priority="1">
      <colorScale>
        <cfvo type="min"/>
        <cfvo type="max"/>
        <color rgb="FFFF0000"/>
        <color rgb="FF92D050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Excel Sorting Assignment</vt:lpstr>
      <vt:lpstr>Questions</vt:lpstr>
      <vt:lpstr>Sorting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Sanjana .</cp:lastModifiedBy>
  <dcterms:created xsi:type="dcterms:W3CDTF">2025-09-12T12:35:43Z</dcterms:created>
  <dcterms:modified xsi:type="dcterms:W3CDTF">2025-09-17T14:27:59Z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f398f14888b847c2bbcdd1fa54fcff73</vt:lpwstr>
  </property>
</Properties>
</file>